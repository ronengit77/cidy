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docs.live.net/831750913a0e3f96/UN/Cidy/cidy/documentation/"/>
    </mc:Choice>
  </mc:AlternateContent>
  <xr:revisionPtr revIDLastSave="80" documentId="13_ncr:1_{2B301336-FE44-41E3-9BB8-269871358495}" xr6:coauthVersionLast="47" xr6:coauthVersionMax="47" xr10:uidLastSave="{C4A99D31-13C8-4E3D-A93A-A374A720AB53}"/>
  <bookViews>
    <workbookView xWindow="34464" yWindow="0" windowWidth="15960" windowHeight="12336"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alcChain>
</file>

<file path=xl/sharedStrings.xml><?xml version="1.0" encoding="utf-8"?>
<sst xmlns="http://schemas.openxmlformats.org/spreadsheetml/2006/main" count="607" uniqueCount="358">
  <si>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</si>
  <si>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</si>
  <si>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</si>
  <si>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</si>
  <si>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</si>
  <si>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</si>
  <si>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</si>
  <si>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</si>
  <si>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</si>
  <si>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</si>
  <si>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</si>
  <si>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</si>
  <si>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</si>
  <si>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</si>
  <si>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</si>
  <si>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</si>
  <si>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</si>
  <si>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</si>
  <si>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</si>
  <si>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</si>
  <si>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</si>
  <si>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</si>
  <si>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</si>
  <si>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</si>
  <si>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</si>
  <si>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</si>
  <si>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</si>
  <si>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</si>
  <si>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Summarize recommendations from project evaluations related to stakeholder engagement.</t>
  </si>
  <si>
    <t>Routes to Programme Development with topic_area=projects_evaluations.</t>
  </si>
  <si>
    <t>What lessons learned are available from past capacity development projects?</t>
  </si>
  <si>
    <t>What have evaluations said about DA projects?</t>
  </si>
  <si>
    <t>Routes to Programme Development with topic_area=projects_evaluations, using DA as context if available. It should not route to DA evaluation design guidance.</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</si>
  <si>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</si>
  <si>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</si>
  <si>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</si>
  <si>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</si>
  <si>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</si>
  <si>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</si>
  <si>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</si>
  <si>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</si>
  <si>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</si>
  <si>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</si>
  <si>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</si>
  <si>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</si>
  <si>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</si>
  <si>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</si>
  <si>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</si>
  <si>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</si>
  <si>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</si>
  <si>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</si>
  <si>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</si>
  <si>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</si>
  <si>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</si>
  <si>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</si>
  <si>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</si>
  <si>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</si>
  <si>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</si>
  <si>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</si>
  <si>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</si>
  <si>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</si>
  <si>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</si>
  <si>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</si>
  <si>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</si>
  <si>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</si>
  <si>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</si>
  <si>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</si>
  <si>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</si>
  <si>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</si>
  <si>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</si>
  <si>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</si>
  <si>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</si>
  <si>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</si>
  <si>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</si>
  <si>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</si>
  <si>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</si>
  <si>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</si>
  <si>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</si>
  <si>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</si>
  <si>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</si>
  <si>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</si>
  <si>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</si>
  <si>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</si>
  <si>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</si>
  <si>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</si>
  <si>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</si>
  <si>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</si>
  <si>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</si>
  <si>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</si>
  <si>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</si>
  <si>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</si>
  <si>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</si>
  <si>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</si>
  <si>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</si>
  <si>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</si>
  <si>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</si>
  <si>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</si>
  <si>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</si>
  <si>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</si>
  <si>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</si>
  <si>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</si>
  <si>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</si>
  <si>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</si>
  <si>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</si>
  <si>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</si>
  <si>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</si>
  <si>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</si>
  <si>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</si>
  <si>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</si>
  <si>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</si>
  <si>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</si>
  <si>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</si>
  <si>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</si>
  <si>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</si>
  <si>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Attempt 1: random text. Attempt 2: still random text.</t>
  </si>
  <si>
    <t>Clarifier sets intentStatus=dead_end and requiresClarification=No. Router routes to User Feedback.</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</si>
  <si>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</si>
  <si>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</si>
  <si>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</si>
  <si>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</si>
  <si>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</si>
  <si>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</si>
  <si>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</si>
  <si>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</si>
  <si>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</si>
  <si>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</si>
  <si>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</si>
  <si>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</si>
  <si>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</si>
  <si>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</si>
  <si>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</si>
  <si>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</si>
  <si>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</si>
  <si>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</si>
  <si>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</si>
  <si>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</si>
  <si>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</si>
  <si>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</si>
  <si>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</si>
  <si>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</si>
  <si>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</si>
  <si>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</si>
  <si>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</si>
  <si>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</si>
  <si>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</si>
  <si>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</si>
  <si>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</si>
  <si>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</si>
  <si>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</si>
  <si>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</si>
  <si>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</si>
  <si>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</si>
  <si>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</si>
  <si>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</si>
  <si>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</si>
  <si>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</si>
  <si>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</si>
  <si>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</si>
  <si>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</si>
  <si>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</si>
  <si>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</si>
  <si>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</si>
  <si>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</si>
  <si>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</si>
  <si>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</si>
  <si>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</si>
  <si>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</si>
  <si>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</si>
  <si>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</si>
  <si>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</si>
  <si>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</si>
  <si>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</si>
  <si>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</si>
  <si>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</si>
  <si>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</si>
  <si>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</si>
  <si>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</si>
  <si>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</si>
  <si>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</si>
  <si>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</si>
  <si>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</si>
  <si>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</si>
  <si>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</si>
  <si>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</si>
  <si>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</si>
  <si>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</si>
  <si>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</si>
  <si>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</si>
  <si>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</si>
  <si>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</si>
  <si>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</si>
  <si>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FoundAnswer</t>
  </si>
  <si>
    <t>AnswerQuality</t>
  </si>
  <si>
    <t>Yes</t>
  </si>
  <si>
    <t>Pass</t>
  </si>
  <si>
    <t>Perfomance</t>
  </si>
  <si>
    <t>Answer: I was not able to find information in my knowledge sources that could answer this question.
Sources: No sources found.
Confidence: Low</t>
  </si>
  <si>
    <t>No</t>
  </si>
  <si>
    <t>CorrectSources</t>
  </si>
  <si>
    <t>Cidy is designed to support DESA capacity-development knowledge, including DA, RPTC, UNPDF/PDF, Programme Development, Project Evaluation evidence, and Cidy-related guidance. This question appears outside that scope.</t>
  </si>
  <si>
    <t>General Notes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</si>
  <si>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</si>
  <si>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</si>
  <si>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</si>
  <si>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</si>
  <si>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</si>
  <si>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Same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</si>
  <si>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</si>
  <si>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</si>
  <si>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</si>
  <si>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</si>
  <si>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</si>
  <si>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</si>
  <si>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Checked "project evaluations" knowledge folder</t>
  </si>
  <si>
    <t>Seems like correct routing?</t>
  </si>
  <si>
    <t>Goes to about cidy, not form prog dev</t>
  </si>
  <si>
    <t>Checked knowledge folder, not empty; seems like most prog dev questions can't be found and show "-1s" response times?</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</si>
  <si>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</si>
  <si>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</si>
  <si>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</si>
  <si>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</si>
  <si>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</si>
  <si>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Has to be accumulating the time, now &gt; 1000s</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</si>
  <si>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</si>
  <si>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something wrong</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</si>
  <si>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</si>
  <si>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</si>
  <si>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</si>
  <si>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</si>
  <si>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</si>
  <si>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</si>
  <si>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</si>
  <si>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</si>
  <si>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</si>
  <si>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Did get asked multiple choice; DEBUG - Pass 2 result: Broad DA source (Pass 1 was blank)
Query sent:
Response:</t>
  </si>
  <si>
    <t>Claude Found?</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</si>
  <si>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</si>
  <si>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</si>
  <si>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</si>
  <si>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</si>
  <si>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</si>
  <si>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</si>
  <si>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</si>
  <si>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</si>
  <si>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</si>
  <si>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</si>
  <si>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</si>
  <si>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</si>
  <si>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</si>
  <si>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</si>
  <si>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</si>
  <si>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</si>
  <si>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</si>
  <si>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</si>
  <si>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</si>
  <si>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</si>
  <si>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</si>
  <si>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</si>
  <si>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</si>
  <si>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</si>
  <si>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</si>
  <si>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</si>
  <si>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</si>
  <si>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</si>
  <si>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</si>
  <si>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</si>
  <si>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</si>
  <si>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</si>
  <si>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</si>
  <si>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</si>
  <si>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</si>
  <si>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coverage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</si>
  <si>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</si>
  <si>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</si>
  <si>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</si>
  <si>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</si>
  <si>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</si>
  <si>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</si>
  <si>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</si>
  <si>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</si>
  <si>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</si>
  <si>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</si>
  <si>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</si>
  <si>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</si>
  <si>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</si>
  <si>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</si>
  <si>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</si>
  <si>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</si>
  <si>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</si>
  <si>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</si>
  <si>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</si>
  <si>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</si>
  <si>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</si>
  <si>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</si>
  <si>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</si>
  <si>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</si>
  <si>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</si>
  <si>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</si>
  <si>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</si>
  <si>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</si>
  <si>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</si>
  <si>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</si>
  <si>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</si>
  <si>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</si>
  <si>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</si>
  <si>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</si>
  <si>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</si>
  <si>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</si>
  <si>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</si>
  <si>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</si>
  <si>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</si>
  <si>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</si>
  <si>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</si>
  <si>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</si>
  <si>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</si>
  <si>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</si>
  <si>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</si>
  <si>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</si>
  <si>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</si>
  <si>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</si>
  <si>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</si>
  <si>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</si>
  <si>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</si>
  <si>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</si>
  <si>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</si>
  <si>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</si>
  <si>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</si>
  <si>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</si>
  <si>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</si>
  <si>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</si>
  <si>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</si>
  <si>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</si>
  <si>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</si>
  <si>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</si>
  <si>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Topic Area</t>
  </si>
  <si>
    <t>Answer appears twice. Investigating -- sources are identical which is good</t>
  </si>
  <si>
    <t xml:space="preserve">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t>
  </si>
  <si>
    <t>timer broken, investigating</t>
  </si>
  <si>
    <t>Answer appears twice, took multiple attempts.</t>
  </si>
  <si>
    <t>Yes*</t>
  </si>
  <si>
    <t>Answer: To prepare a project document for the Development Account (DA), follow these steps, referencing the most recent (19th tranche) guidance:
Use the Latest Guidelines and Templates
Always use the most recent tranche’s guidelines and templates (e.g., T19 for the 19th tranche) for project document preparation.
The “T19 Project Document Guidelines” provide detailed instructions for each section, and the “T19 Project Document Template” is used for drafting. There is also a separate Excel file (“T19 Project Document Annex”) for workplans and budget annexes.
Drafting the Project Document
Expand on the approved concept note, incorporating any feedback received.
Complete all required sections in the template, including:
Executive Summary (project code, title, implementing entities, partners, budget, target countries, SDGs, brief description)
Demand, Context, and Analysis (selection of target countries, context, country-level analysis, stakeholder analysis)
Project Strategy (define the envisaged change, theory of change narrative, results framework)
Gender Equality and Disability Inclusion
Monitoring, Reporting, and Evaluation
Mandates, Partnerships, and Coordination Agreements
Budget (using the Excel annex).
Key Requirements and Steps
Engage with monitoring and evaluation colleagues to develop the results framework and define achievement indicators.
For projects with a budget of $1 million or more, include an evaluation plan and involve relevant officers in preparation.
Conduct an entity-level quality assurance review, using the standard checklist, and consult with implementing partners and the Resident Coordinator’s Office (RCO) in each target country.
Submit the draft project document to the DA-PMT for review and revision, responding to comments as needed.
Once finalized and aligned with guidelines, the project document is eligible for fund allocation after GA approval.
Where to Find Resources
The latest guidelines, templates, and checklists are available on the DA SharePoint Site and DA website.
Only reference templates directly if the question is about their structure; otherwise, rely on the guidelines for content and process.
Sources:
​Guide to the Development Account 2025.pdf​
​T19 Project Document Guidelines.docx​
​T19 Project Document Template.docx​
​readme.docx​
Confidence: Very High</t>
  </si>
  <si>
    <t xml:space="preserve">Answer: Yes, under the Development Account, travel costs are considered eligible expenses. The budget class "Travel of Staff (115)" is specifically designated for the travel of UN system-wide staff, covering transportation costs incurred by staff members to carry out missions in support of the implementation of their mandates. This includes participation in expert groups, workshops, and providing advisory services. However, staff travel costs should not be included under "Grants and Contributions – Workshops/Study Tours (145)", and the number of staff traveling per activity should be limited, especially if consultants are also traveling for the same activity. Additionally, travel costs for consultants may be included under the "Consultants (105)" budget class, as part of their fees if relevant. It is also noted that high travel expenses are scrutinized, so travel costs should be weighed carefully and hybrid or virtual options should be considered where possible.
Sources:
​T19 Project Document Guidelines.docx​
​T18 Project Document Guidelines.docx​
​T16 Project Document Guidelines v6 final.pdf​
Confidence: High
</t>
  </si>
  <si>
    <t>Answer displays twice</t>
  </si>
  <si>
    <t>Answer: Section 3.5 of the Development Account (DA) guidelines addresses "Project Governance and Coordination Arrangements" in project design. It emphasizes the need to:
Clearly define project governance arrangements, including roles, responsibilities, hierarchy, and communication lines, often illustrated with a diagram.
Link team member responsibilities to project outcomes and outputs.
For projects with multiple implementing entities, consider centralized management and funding led by a designated lead entity to improve efficiency and coherence.
Make lines of accountability explicit in the governance diagram.
Provide a detailed list of UN partner entities and implementation partners, clarifying that beneficiaries are not considered implementation partners.
Describe how different actors will collaborate to achieve project objectives and impact.
Ensure the project document is shared with all implementing entities and partners, with agreements on roles and responsibilities reached before submission for review.
Plan early engagement with Resident Coordinator (RC) and UN Country Team (UNCT) in target countries, specifying how RCs/UNCTs will be consulted during design and implementation.
Reference existing coordination mechanisms and alignment with the UN Sustainable Development Cooperation Framework (UNSDCF).
These steps are intended to ensure effective management, coordination, and national ownership in project design and implementation.
Sources:
​generic_project_document_guidelines_final.docx​
Confidence: Very High</t>
  </si>
  <si>
    <t>***Answer DOES NOT appear twice (???), follow ups do not yield answers, only new test sessions</t>
  </si>
  <si>
    <t xml:space="preserve">Answer: Designing a Terminal Evaluation for a DA Project involves several steps:
Evaluation Terms of Reference (TOR)
Begin developing the TOR 3–6 months before project completion (at least 6 months for joint projects).
TOR should include: evaluation purpose, project context and description, evaluation objectives and scope, evaluation criteria and tentative questions, methodology (including data availability), key stakeholders to engage, organization and management arrangements, workplan and deliverables, dissemination strategy, evaluation budget, and required qualifications for evaluators (including experience in gender equality and disability inclusion for relevant projects).
Methodology
Use multiple methods and triangulate data for robust findings. Common methods: desk review of project documents, interviews (in-person or remote), focus group discussions, online surveys, field visits (if feasible), observation of project events, and analysis of workshop/meeting recordings.
Select methods based on data availability, project activities, geographic scope, thematic focus, and budget.
Evaluation Criteria
Assess relevance, efficiency, effectiveness, and sustainability.
Include human rights and gender equality as a separate criterion or within the main criteria.
Consider adding coherence in line with OECD/DAC standards.
Report Structure
Follow the DA evaluation report template, which includes: executive summary (3–4 pages), introduction, project description, evaluation objectives, scope, and questions, methodology, findings, conclusions, recommendations, lessons learned and good practices, and annexes (TOR, results framework, evaluation matrix, data collection tools, interviewee list, document list).
Official Guidance
Refer to the DA Evaluation Framework and Project Evaluation Guidelines for detailed requirements.
For joint projects, consult additional guidance in the DA guidance note on terminal evaluation of joint projects.
Ensure integration of gender equality, human rights, and disability inclusion throughout the evaluation process.
Sources:
​T14 DA guidance note on project evaluations - final 2.27.2025.docx​
​T15 DA guidance note on project evaluations - re re final 2.3.2026.docx​
​T14 DA project evaluation report template (annotated).docx​
​T15 DA project evaluation report template (annotated).docx​
Confidence: High
</t>
  </si>
  <si>
    <t>Answer displays twice, answers are identical, but with different formatting? Took multiple attempts to find answer.</t>
  </si>
  <si>
    <t xml:space="preserve">Answer: The DA evaluation report template is the standardized format used for reporting on Development Account (DA) project evaluations. The latest version, relevant from the 15th tranche (T15) onward, is the "DA project evaluation report template 02-2026." This template ensures consistency and completeness in evaluation reporting across projects.
Key Contents of the DA Evaluation Report Template (02-2026):
Cover Page: Includes project title, evaluation period, evaluator(s), evaluation manager(s), and implementing entity’s logo.
Table of Contents: Lists all sections and annexes.
List of Acronyms and Abbreviations
Executive Summary: A stand-alone section (3-4 pages) summarizing the project, evaluation purpose, objectives, scope, methodology, key findings, conclusions, and recommendations.
Introduction
Description of the Project:
Background
Project objectives and expected results
Project strategies and key activities
Beneficiaries and target countries
Key partners and stakeholders
Resources
Link to the Sustainable Development Goals (SDGs)
Innovative elements (if applicable)
Evaluation Objectives, Scope, and Questions:
Purpose and objectives
Evaluation scope, criteria, and questions
Methodology
Findings
Conclusions
Recommendations
Lessons Learned and Good Practices
Annexes:
Evaluation Terms of Reference (TORs)
Project results framework
Evaluation matrix
Data collection instruments
List of individuals interviewed
List of documents reviewed
The template is designed to be logical, clear, and complete, supporting both accountability and learning objectives. All DA project evaluation reports are strongly recommended to use this template, or, if an entity uses its own template, to ensure all required DA elements are included either within the main report or as an attachment. The template also supports the dissemination of lessons learned and good practices beyond the implementing entity.
Sources:
​T15 DA guidance note on project evaluations - re re final 2.3.2026.docx​
​DA project evaluation report template 02-2026.docx​
Confidence: Very High
</t>
  </si>
  <si>
    <t>Answer DOES not appear twice, first try.</t>
  </si>
  <si>
    <t>debug pass messaging seems to be in wrong sequence.</t>
  </si>
  <si>
    <t>Answer: To ensure you are using the most current and relevant procedures when starting a new Development Account (DA) project, you should follow the guidance document from the highest-numbered tranche available, as this represents the most recent tranche guidance. The files in the Project Planning and Design folder are organized by tranche, with the highest number indicating the latest guidance. Unless you specifically need information from an earlier tranche, always use the most recent tranche guidance to ensure your project aligns with the latest procedures and requirements.
Sources:
​readme.docx​
Confidence: Very High</t>
  </si>
  <si>
    <t>Yes*?</t>
  </si>
  <si>
    <t>Answer displays twice. Seems like the source is a doc giving instructions on how Cidy should answer?</t>
  </si>
  <si>
    <t>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target countries, project objectives, outcomes, outputs, UN system engagement, partnerships, and budget summary. The checklist ensures that all required sections are completed and that the concept note meets quality assurance standards prior to submission. This checklist is referenced as annex 2 in the 19th tranche guidelines and is specifically intended for internal quality review and pre-submission checks by implementing entities.
Sources:
​T19 Concept Note Review Checklist for DA Focal Points.docx​
​T19 Concept Note Guidelines.docx​
Confidence: Very High</t>
  </si>
  <si>
    <t xml:space="preserve">Answer appears twice. </t>
  </si>
  <si>
    <t>Answer: The responsibility for maintaining and updating the knowledge base used by Cidy lies with the Knowledge Control Center. This component tracks knowledge folders, source-use instructions, manager updates, route coverage, and YAML work needed to keep response topics aligned. Additionally, the governance and maintenance architecture includes an inventory generator to regenerate the knowledge inventory from the router and response YAMLs, a refresh workflow for synchronizing and updating files, and a structural test runner to check the inventory's support for expected flows. Human-in-the-loop processes are also in place, ensuring unresolved or low-confidence cases are escalated for human review rather than being treated as definitive answers. This approach ensures that Cidy's knowledge base remains accurate, current, and aligned with institutional requirements.
Sources:
​Cidy - Architecture.docx​
Confidence: Very High</t>
  </si>
  <si>
    <t>Not really correct?</t>
  </si>
  <si>
    <t>Unsure*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</si>
</sst>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2" fillId="0" borderId="0" xfId="0" applyFont="1" applyAlignment="1"/>
  </cellXfs>
  <cellStyles count="1">
    <cellStyle name="Normal" xfId="0" builtinId="0"/>
  </cellStyles>
  <dxfs count="19">
    <dxf>
      <fill>
        <patternFill>
          <bgColor theme="9" tint="0.79998168889431442"/>
        </patternFill>
      </fill>
    </dxf>
    <dxf>
      <fill>
        <patternFill>
          <bgColor theme="5" tint="0.59996337778862885"/>
        </patternFill>
      </fill>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N101" headerRowDxfId="18" dataDxfId="17" totalsRowDxfId="16">
  <autoFilter ref="A1:N101" xr:uid="{00000000-0009-0000-0100-000001000000}">
    <filterColumn colId="1">
      <filters>
        <filter val="DA"/>
      </filters>
    </filterColumn>
  </autoFilter>
  <tableColumns count="14">
    <tableColumn id="1" xr3:uid="{00000000-0010-0000-0000-000001000000}" name="Scenario" dataDxfId="15"/>
    <tableColumn id="14" xr3:uid="{4A7C252B-E6AE-4BAB-8700-BD0D421264B4}" name="Topic Area" dataDxfId="14">
      <calculatedColumnFormula>_xlfn.TEXTBEFORE(_xlfn.TEXTAFTER(A2,"[",-1),"]")</calculatedColumnFormula>
    </tableColumn>
    <tableColumn id="2" xr3:uid="{00000000-0010-0000-0000-000002000000}" name="Test Question" dataDxfId="13"/>
    <tableColumn id="6" xr3:uid="{68F948D1-0E8A-4480-8723-80EC07BAA04C}" name="Prod Answer" dataDxfId="12"/>
    <tableColumn id="12" xr3:uid="{592BE159-2946-4113-A670-6EF553577EF2}" name="General Notes" dataDxfId="11"/>
    <tableColumn id="8" xr3:uid="{FC7C6CC2-66C4-4B78-8F9E-DC4824CA4968}" name="FoundAnswer" dataDxfId="10"/>
    <tableColumn id="13" xr3:uid="{94470136-127C-457E-8281-70D3DB7C1FD4}" name="Claude Found?" dataDxfId="9"/>
    <tableColumn id="9" xr3:uid="{551CDDA9-7BAE-4AE5-8237-BD7504F9E735}" name="AnswerQuality" dataDxfId="8"/>
    <tableColumn id="11" xr3:uid="{EC4A9B6F-8976-43CC-A78B-D4C6C117B8BA}" name="CorrectSources" dataDxfId="7"/>
    <tableColumn id="7" xr3:uid="{30840C4C-93AB-4657-A3EE-B277ADF5F742}" name="Test Date" dataDxfId="6"/>
    <tableColumn id="10" xr3:uid="{DB32ACFF-3AD3-4851-952B-2F2090D84F8D}" name="Perfomance" dataDxfId="5"/>
    <tableColumn id="3" xr3:uid="{00000000-0010-0000-0000-000003000000}" name="Clarification" dataDxfId="4"/>
    <tableColumn id="4" xr3:uid="{00000000-0010-0000-0000-000004000000}" name="Expected Behavior" dataDxfId="3"/>
    <tableColumn id="5" xr3:uid="{00000000-0010-0000-0000-000005000000}" name="Date Created"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01"/>
  <sheetViews>
    <sheetView tabSelected="1" workbookViewId="0">
      <pane ySplit="1" topLeftCell="A2" activePane="bottomLeft" state="frozen"/>
      <selection pane="bottomLeft" activeCell="C104" sqref="C104"/>
    </sheetView>
  </sheetViews>
  <sheetFormatPr defaultColWidth="8.73046875" defaultRowHeight="11.65" x14ac:dyDescent="0.35"/>
  <cols>
    <col min="1" max="1" width="37.33203125" style="4" customWidth="1"/>
    <col min="2" max="2" width="12.19921875" style="4" customWidth="1"/>
    <col min="3" max="3" width="32.265625" style="4" customWidth="1"/>
    <col min="4" max="5" width="32.265625" style="3" customWidth="1"/>
    <col min="6" max="9" width="12.9296875" style="4" customWidth="1"/>
    <col min="10" max="10" width="9.73046875" style="4" customWidth="1"/>
    <col min="11" max="11" width="16.53125" style="4" customWidth="1"/>
    <col min="12" max="12" width="17.796875" style="3" customWidth="1"/>
    <col min="13" max="13" width="286" style="3" customWidth="1"/>
    <col min="14" max="14" width="15.46484375" style="3" customWidth="1"/>
    <col min="15" max="16384" width="8.73046875" style="3"/>
  </cols>
  <sheetData>
    <row r="1" spans="1:14" x14ac:dyDescent="0.35">
      <c r="A1" s="1" t="s">
        <v>0</v>
      </c>
      <c r="B1" s="1" t="s">
        <v>334</v>
      </c>
      <c r="C1" s="1" t="s">
        <v>1</v>
      </c>
      <c r="D1" s="2" t="s">
        <v>189</v>
      </c>
      <c r="E1" s="2" t="s">
        <v>200</v>
      </c>
      <c r="F1" s="1" t="s">
        <v>191</v>
      </c>
      <c r="G1" s="1" t="s">
        <v>235</v>
      </c>
      <c r="H1" s="1" t="s">
        <v>192</v>
      </c>
      <c r="I1" s="1" t="s">
        <v>198</v>
      </c>
      <c r="J1" s="1" t="s">
        <v>190</v>
      </c>
      <c r="K1" s="1" t="s">
        <v>195</v>
      </c>
      <c r="L1" s="2" t="s">
        <v>2</v>
      </c>
      <c r="M1" s="2" t="s">
        <v>3</v>
      </c>
      <c r="N1" s="2" t="s">
        <v>4</v>
      </c>
    </row>
    <row r="2" spans="1:14" x14ac:dyDescent="0.35">
      <c r="A2" s="3" t="s">
        <v>236</v>
      </c>
      <c r="B2" s="3" t="str">
        <f t="shared" ref="B2:B33" si="0">_xlfn.TEXTBEFORE(_xlfn.TEXTAFTER(A2,"[",-1),"]")</f>
        <v>DA</v>
      </c>
      <c r="C2" s="4" t="s">
        <v>5</v>
      </c>
      <c r="D2" s="6" t="s">
        <v>336</v>
      </c>
      <c r="E2" s="3" t="s">
        <v>335</v>
      </c>
      <c r="F2" s="3" t="s">
        <v>193</v>
      </c>
      <c r="G2" s="3"/>
      <c r="I2" s="4" t="s">
        <v>193</v>
      </c>
      <c r="J2" s="5">
        <v>46194</v>
      </c>
      <c r="K2" s="5" t="s">
        <v>337</v>
      </c>
      <c r="L2" s="3" t="s">
        <v>6</v>
      </c>
      <c r="M2" s="3" t="s">
        <v>7</v>
      </c>
    </row>
    <row r="3" spans="1:14" x14ac:dyDescent="0.35">
      <c r="A3" s="3" t="s">
        <v>237</v>
      </c>
      <c r="B3" s="3" t="str">
        <f t="shared" si="0"/>
        <v>DA</v>
      </c>
      <c r="C3" s="4" t="s">
        <v>8</v>
      </c>
      <c r="D3" s="6" t="s">
        <v>340</v>
      </c>
      <c r="E3" s="3" t="s">
        <v>338</v>
      </c>
      <c r="F3" s="3" t="s">
        <v>339</v>
      </c>
      <c r="G3" s="3"/>
      <c r="I3" s="4" t="s">
        <v>193</v>
      </c>
      <c r="J3" s="5">
        <v>46194</v>
      </c>
      <c r="K3" s="5" t="s">
        <v>337</v>
      </c>
      <c r="L3" s="3" t="s">
        <v>6</v>
      </c>
      <c r="M3" s="3" t="s">
        <v>9</v>
      </c>
    </row>
    <row r="4" spans="1:14" ht="23.25" x14ac:dyDescent="0.35">
      <c r="A4" s="3" t="s">
        <v>238</v>
      </c>
      <c r="B4" s="3" t="str">
        <f t="shared" si="0"/>
        <v>DA</v>
      </c>
      <c r="C4" s="4" t="s">
        <v>10</v>
      </c>
      <c r="D4" s="3" t="s">
        <v>203</v>
      </c>
      <c r="E4" s="3" t="s">
        <v>203</v>
      </c>
      <c r="F4" s="3" t="s">
        <v>197</v>
      </c>
      <c r="G4" s="3"/>
      <c r="I4" s="4" t="s">
        <v>203</v>
      </c>
      <c r="J4" s="5">
        <v>46194</v>
      </c>
      <c r="K4" s="5" t="s">
        <v>337</v>
      </c>
      <c r="L4" s="3" t="s">
        <v>6</v>
      </c>
      <c r="M4" s="3" t="s">
        <v>11</v>
      </c>
    </row>
    <row r="5" spans="1:14" ht="23.25" x14ac:dyDescent="0.35">
      <c r="A5" s="3" t="s">
        <v>239</v>
      </c>
      <c r="B5" s="3" t="str">
        <f t="shared" si="0"/>
        <v>DA</v>
      </c>
      <c r="C5" s="4" t="s">
        <v>12</v>
      </c>
      <c r="D5" s="6" t="s">
        <v>341</v>
      </c>
      <c r="E5" s="3" t="s">
        <v>342</v>
      </c>
      <c r="F5" s="3" t="s">
        <v>193</v>
      </c>
      <c r="G5" s="3"/>
      <c r="I5" s="4" t="s">
        <v>193</v>
      </c>
      <c r="J5" s="5">
        <v>46194</v>
      </c>
      <c r="K5" s="5" t="s">
        <v>337</v>
      </c>
      <c r="L5" s="3" t="s">
        <v>6</v>
      </c>
      <c r="M5" s="3" t="s">
        <v>13</v>
      </c>
    </row>
    <row r="6" spans="1:14" x14ac:dyDescent="0.35">
      <c r="A6" s="3" t="s">
        <v>240</v>
      </c>
      <c r="B6" s="3" t="str">
        <f t="shared" si="0"/>
        <v>DA</v>
      </c>
      <c r="C6" s="4" t="s">
        <v>14</v>
      </c>
      <c r="D6" s="6" t="s">
        <v>343</v>
      </c>
      <c r="E6" s="3" t="s">
        <v>344</v>
      </c>
      <c r="F6" s="3" t="s">
        <v>339</v>
      </c>
      <c r="G6" s="3"/>
      <c r="I6" s="4" t="s">
        <v>193</v>
      </c>
      <c r="J6" s="5">
        <v>46194</v>
      </c>
      <c r="K6" s="5" t="s">
        <v>337</v>
      </c>
      <c r="L6" s="3" t="s">
        <v>6</v>
      </c>
      <c r="M6" s="3" t="s">
        <v>15</v>
      </c>
    </row>
    <row r="7" spans="1:14" x14ac:dyDescent="0.35">
      <c r="A7" s="3" t="s">
        <v>241</v>
      </c>
      <c r="B7" s="3" t="str">
        <f t="shared" si="0"/>
        <v>DA</v>
      </c>
      <c r="C7" s="4" t="s">
        <v>16</v>
      </c>
      <c r="D7" s="6" t="s">
        <v>345</v>
      </c>
      <c r="E7" s="3" t="s">
        <v>346</v>
      </c>
      <c r="F7" s="3" t="s">
        <v>339</v>
      </c>
      <c r="G7" s="3"/>
      <c r="I7" s="4" t="s">
        <v>193</v>
      </c>
      <c r="J7" s="5">
        <v>46194</v>
      </c>
      <c r="K7" s="5" t="s">
        <v>337</v>
      </c>
      <c r="L7" s="3" t="s">
        <v>6</v>
      </c>
      <c r="M7" s="3" t="s">
        <v>17</v>
      </c>
    </row>
    <row r="8" spans="1:14" x14ac:dyDescent="0.35">
      <c r="A8" s="3" t="s">
        <v>242</v>
      </c>
      <c r="B8" s="3" t="str">
        <f t="shared" si="0"/>
        <v>DA</v>
      </c>
      <c r="C8" s="4" t="s">
        <v>18</v>
      </c>
      <c r="D8" s="6" t="s">
        <v>347</v>
      </c>
      <c r="E8" s="3" t="s">
        <v>348</v>
      </c>
      <c r="F8" s="3" t="s">
        <v>193</v>
      </c>
      <c r="G8" s="3"/>
      <c r="I8" s="4" t="s">
        <v>193</v>
      </c>
      <c r="J8" s="5">
        <v>46194</v>
      </c>
      <c r="K8" s="5" t="s">
        <v>337</v>
      </c>
      <c r="L8" s="3" t="s">
        <v>6</v>
      </c>
      <c r="M8" s="3" t="s">
        <v>19</v>
      </c>
    </row>
    <row r="9" spans="1:14" x14ac:dyDescent="0.35">
      <c r="A9" s="3" t="s">
        <v>243</v>
      </c>
      <c r="B9" s="3" t="str">
        <f t="shared" si="0"/>
        <v>DA</v>
      </c>
      <c r="C9" s="4" t="s">
        <v>20</v>
      </c>
      <c r="D9" s="3" t="s">
        <v>203</v>
      </c>
      <c r="E9" s="3" t="s">
        <v>349</v>
      </c>
      <c r="F9" s="3" t="s">
        <v>197</v>
      </c>
      <c r="G9" s="3"/>
      <c r="I9" s="4" t="s">
        <v>203</v>
      </c>
      <c r="J9" s="5">
        <v>46194</v>
      </c>
      <c r="K9" s="5" t="s">
        <v>337</v>
      </c>
      <c r="L9" s="3" t="s">
        <v>6</v>
      </c>
      <c r="M9" s="3" t="s">
        <v>21</v>
      </c>
    </row>
    <row r="10" spans="1:14" ht="23.25" x14ac:dyDescent="0.35">
      <c r="A10" s="3" t="s">
        <v>244</v>
      </c>
      <c r="B10" s="3" t="str">
        <f t="shared" si="0"/>
        <v>DA</v>
      </c>
      <c r="C10" s="4" t="s">
        <v>22</v>
      </c>
      <c r="D10" s="6" t="s">
        <v>350</v>
      </c>
      <c r="E10" s="3" t="s">
        <v>352</v>
      </c>
      <c r="F10" s="3" t="s">
        <v>339</v>
      </c>
      <c r="G10" s="3"/>
      <c r="I10" s="4" t="s">
        <v>351</v>
      </c>
      <c r="J10" s="5">
        <v>46194</v>
      </c>
      <c r="K10" s="5" t="s">
        <v>337</v>
      </c>
      <c r="L10" s="3" t="s">
        <v>6</v>
      </c>
      <c r="M10" s="3" t="s">
        <v>23</v>
      </c>
    </row>
    <row r="11" spans="1:14" ht="23.25" x14ac:dyDescent="0.35">
      <c r="A11" s="3" t="s">
        <v>245</v>
      </c>
      <c r="B11" s="3" t="str">
        <f t="shared" si="0"/>
        <v>DA</v>
      </c>
      <c r="C11" s="4" t="s">
        <v>24</v>
      </c>
      <c r="D11" s="6" t="s">
        <v>353</v>
      </c>
      <c r="E11" s="3" t="s">
        <v>354</v>
      </c>
      <c r="F11" s="3" t="s">
        <v>193</v>
      </c>
      <c r="G11" s="3"/>
      <c r="I11" s="4" t="s">
        <v>193</v>
      </c>
      <c r="J11" s="5">
        <v>46194</v>
      </c>
      <c r="K11" s="5" t="s">
        <v>337</v>
      </c>
      <c r="L11" s="3" t="s">
        <v>6</v>
      </c>
      <c r="M11" s="3" t="s">
        <v>25</v>
      </c>
    </row>
    <row r="12" spans="1:14" ht="23.25" hidden="1" x14ac:dyDescent="0.35">
      <c r="A12" s="3" t="s">
        <v>246</v>
      </c>
      <c r="B12" s="3" t="str">
        <f t="shared" si="0"/>
        <v>Evaluation</v>
      </c>
      <c r="C12" s="4" t="s">
        <v>26</v>
      </c>
      <c r="D12" s="3" t="s">
        <v>196</v>
      </c>
      <c r="F12" s="3" t="s">
        <v>197</v>
      </c>
      <c r="G12" s="3"/>
      <c r="J12" s="3"/>
      <c r="K12" s="3"/>
      <c r="L12" s="3" t="s">
        <v>6</v>
      </c>
      <c r="M12" s="3" t="s">
        <v>27</v>
      </c>
    </row>
    <row r="13" spans="1:14" ht="34.9" hidden="1" x14ac:dyDescent="0.35">
      <c r="A13" s="3" t="s">
        <v>247</v>
      </c>
      <c r="B13" s="3" t="str">
        <f t="shared" si="0"/>
        <v>Evaluation</v>
      </c>
      <c r="C13" s="4" t="s">
        <v>28</v>
      </c>
      <c r="F13" s="3"/>
      <c r="G13" s="3"/>
      <c r="J13" s="3"/>
      <c r="K13" s="3"/>
      <c r="L13" s="3" t="s">
        <v>6</v>
      </c>
      <c r="M13" s="3" t="s">
        <v>29</v>
      </c>
    </row>
    <row r="14" spans="1:14" ht="23.25" hidden="1" x14ac:dyDescent="0.35">
      <c r="A14" s="3" t="s">
        <v>248</v>
      </c>
      <c r="B14" s="3" t="str">
        <f t="shared" si="0"/>
        <v>Evaluation</v>
      </c>
      <c r="C14" s="4" t="s">
        <v>30</v>
      </c>
      <c r="D14" s="3" t="s">
        <v>201</v>
      </c>
      <c r="E14" s="3" t="s">
        <v>202</v>
      </c>
      <c r="F14" s="3" t="s">
        <v>197</v>
      </c>
      <c r="G14" s="3"/>
      <c r="I14" s="4" t="s">
        <v>203</v>
      </c>
      <c r="J14" s="5">
        <v>46189</v>
      </c>
      <c r="K14" s="3"/>
      <c r="L14" s="3" t="s">
        <v>6</v>
      </c>
      <c r="M14" s="3" t="s">
        <v>29</v>
      </c>
    </row>
    <row r="15" spans="1:14" hidden="1" x14ac:dyDescent="0.35">
      <c r="A15" s="3" t="s">
        <v>249</v>
      </c>
      <c r="B15" s="3" t="str">
        <f t="shared" si="0"/>
        <v>Evaluation</v>
      </c>
      <c r="C15" s="4" t="s">
        <v>31</v>
      </c>
      <c r="D15" s="3" t="s">
        <v>204</v>
      </c>
      <c r="E15" s="3" t="s">
        <v>205</v>
      </c>
      <c r="F15" s="3" t="s">
        <v>197</v>
      </c>
      <c r="G15" s="3"/>
      <c r="I15" s="4" t="s">
        <v>203</v>
      </c>
      <c r="J15" s="5">
        <v>46189</v>
      </c>
      <c r="K15" s="3"/>
      <c r="L15" s="3" t="s">
        <v>6</v>
      </c>
      <c r="M15" s="3" t="s">
        <v>32</v>
      </c>
    </row>
    <row r="16" spans="1:14" ht="23.25" hidden="1" x14ac:dyDescent="0.35">
      <c r="A16" s="3" t="s">
        <v>250</v>
      </c>
      <c r="B16" s="3" t="str">
        <f t="shared" si="0"/>
        <v>Evaluation</v>
      </c>
      <c r="C16" s="4" t="s">
        <v>33</v>
      </c>
      <c r="D16" s="3" t="s">
        <v>207</v>
      </c>
      <c r="F16" s="3" t="s">
        <v>197</v>
      </c>
      <c r="G16" s="3"/>
      <c r="I16" s="4" t="s">
        <v>203</v>
      </c>
      <c r="J16" s="5">
        <v>46189</v>
      </c>
      <c r="K16" s="3"/>
      <c r="L16" s="3" t="s">
        <v>6</v>
      </c>
      <c r="M16" s="3" t="s">
        <v>29</v>
      </c>
    </row>
    <row r="17" spans="1:13" ht="23.25" hidden="1" x14ac:dyDescent="0.35">
      <c r="A17" s="3" t="s">
        <v>251</v>
      </c>
      <c r="B17" s="3" t="str">
        <f t="shared" si="0"/>
        <v>Evaluation</v>
      </c>
      <c r="C17" s="4" t="s">
        <v>34</v>
      </c>
      <c r="D17" s="3" t="s">
        <v>208</v>
      </c>
      <c r="E17" s="3" t="s">
        <v>209</v>
      </c>
      <c r="F17" s="3" t="s">
        <v>193</v>
      </c>
      <c r="G17" s="3"/>
      <c r="I17" s="4" t="s">
        <v>193</v>
      </c>
      <c r="J17" s="5">
        <v>46189</v>
      </c>
      <c r="K17" s="3" t="s">
        <v>210</v>
      </c>
      <c r="L17" s="3" t="s">
        <v>6</v>
      </c>
      <c r="M17" s="3" t="s">
        <v>29</v>
      </c>
    </row>
    <row r="18" spans="1:13" ht="23.25" hidden="1" x14ac:dyDescent="0.35">
      <c r="A18" s="3" t="s">
        <v>252</v>
      </c>
      <c r="B18" s="3" t="str">
        <f t="shared" si="0"/>
        <v>Evaluation</v>
      </c>
      <c r="C18" s="4" t="s">
        <v>35</v>
      </c>
      <c r="D18" s="3" t="s">
        <v>211</v>
      </c>
      <c r="E18" s="3" t="s">
        <v>212</v>
      </c>
      <c r="F18" s="3" t="s">
        <v>197</v>
      </c>
      <c r="G18" s="3"/>
      <c r="I18" s="4" t="s">
        <v>203</v>
      </c>
      <c r="J18" s="5">
        <v>46189</v>
      </c>
      <c r="K18" s="3" t="s">
        <v>210</v>
      </c>
      <c r="L18" s="3" t="s">
        <v>6</v>
      </c>
      <c r="M18" s="3" t="s">
        <v>29</v>
      </c>
    </row>
    <row r="19" spans="1:13" ht="23.25" hidden="1" x14ac:dyDescent="0.35">
      <c r="A19" s="3" t="s">
        <v>253</v>
      </c>
      <c r="B19" s="3" t="str">
        <f t="shared" si="0"/>
        <v>PD</v>
      </c>
      <c r="C19" s="4" t="s">
        <v>36</v>
      </c>
      <c r="D19" s="3" t="s">
        <v>206</v>
      </c>
      <c r="E19" s="3" t="s">
        <v>213</v>
      </c>
      <c r="F19" s="3" t="s">
        <v>197</v>
      </c>
      <c r="G19" s="3"/>
      <c r="I19" s="4" t="s">
        <v>203</v>
      </c>
      <c r="J19" s="5">
        <v>46189</v>
      </c>
      <c r="K19" s="3"/>
      <c r="L19" s="3" t="s">
        <v>6</v>
      </c>
      <c r="M19" s="3" t="s">
        <v>29</v>
      </c>
    </row>
    <row r="20" spans="1:13" hidden="1" x14ac:dyDescent="0.35">
      <c r="A20" s="3" t="s">
        <v>254</v>
      </c>
      <c r="B20" s="3" t="str">
        <f t="shared" si="0"/>
        <v>PD</v>
      </c>
      <c r="C20" s="4" t="s">
        <v>37</v>
      </c>
      <c r="D20" s="3" t="s">
        <v>206</v>
      </c>
      <c r="E20" s="3" t="s">
        <v>214</v>
      </c>
      <c r="F20" s="3" t="s">
        <v>197</v>
      </c>
      <c r="G20" s="3"/>
      <c r="I20" s="4" t="s">
        <v>203</v>
      </c>
      <c r="J20" s="5">
        <v>46189</v>
      </c>
      <c r="K20" s="3"/>
      <c r="L20" s="3" t="s">
        <v>6</v>
      </c>
      <c r="M20" s="3" t="s">
        <v>38</v>
      </c>
    </row>
    <row r="21" spans="1:13" ht="23.25" hidden="1" x14ac:dyDescent="0.35">
      <c r="A21" s="3" t="s">
        <v>255</v>
      </c>
      <c r="B21" s="3" t="str">
        <f t="shared" si="0"/>
        <v>PD</v>
      </c>
      <c r="C21" s="4" t="s">
        <v>39</v>
      </c>
      <c r="D21" s="3" t="s">
        <v>206</v>
      </c>
      <c r="E21" s="3" t="s">
        <v>216</v>
      </c>
      <c r="F21" s="3" t="s">
        <v>197</v>
      </c>
      <c r="G21" s="3"/>
      <c r="I21" s="4" t="s">
        <v>203</v>
      </c>
      <c r="J21" s="5">
        <v>46189</v>
      </c>
      <c r="K21" s="3"/>
      <c r="L21" s="3" t="s">
        <v>6</v>
      </c>
      <c r="M21" s="3" t="s">
        <v>40</v>
      </c>
    </row>
    <row r="22" spans="1:13" hidden="1" x14ac:dyDescent="0.35">
      <c r="A22" s="3" t="s">
        <v>256</v>
      </c>
      <c r="B22" s="3" t="str">
        <f t="shared" si="0"/>
        <v>PD</v>
      </c>
      <c r="C22" s="4" t="s">
        <v>41</v>
      </c>
      <c r="D22" s="3" t="s">
        <v>206</v>
      </c>
      <c r="F22" s="3" t="s">
        <v>197</v>
      </c>
      <c r="G22" s="3"/>
      <c r="I22" s="4" t="s">
        <v>203</v>
      </c>
      <c r="J22" s="5">
        <v>46189</v>
      </c>
      <c r="K22" s="3"/>
      <c r="L22" s="3" t="s">
        <v>6</v>
      </c>
      <c r="M22" s="3" t="s">
        <v>42</v>
      </c>
    </row>
    <row r="23" spans="1:13" ht="23.25" hidden="1" x14ac:dyDescent="0.35">
      <c r="A23" s="3" t="s">
        <v>257</v>
      </c>
      <c r="B23" s="3" t="str">
        <f t="shared" si="0"/>
        <v>PD</v>
      </c>
      <c r="C23" s="4" t="s">
        <v>43</v>
      </c>
      <c r="D23" s="3" t="s">
        <v>206</v>
      </c>
      <c r="E23" s="3" t="s">
        <v>215</v>
      </c>
      <c r="F23" s="3" t="s">
        <v>197</v>
      </c>
      <c r="G23" s="3"/>
      <c r="I23" s="4" t="s">
        <v>203</v>
      </c>
      <c r="J23" s="5">
        <v>46189</v>
      </c>
      <c r="K23" s="3"/>
      <c r="L23" s="3" t="s">
        <v>6</v>
      </c>
      <c r="M23" s="3" t="s">
        <v>44</v>
      </c>
    </row>
    <row r="24" spans="1:13" ht="23.25" hidden="1" x14ac:dyDescent="0.35">
      <c r="A24" s="3" t="s">
        <v>258</v>
      </c>
      <c r="B24" s="3" t="str">
        <f t="shared" si="0"/>
        <v>PD</v>
      </c>
      <c r="C24" s="4" t="s">
        <v>45</v>
      </c>
      <c r="D24" s="3" t="s">
        <v>206</v>
      </c>
      <c r="F24" s="3" t="s">
        <v>197</v>
      </c>
      <c r="G24" s="3"/>
      <c r="I24" s="4" t="s">
        <v>203</v>
      </c>
      <c r="J24" s="5">
        <v>46189</v>
      </c>
      <c r="K24" s="3"/>
      <c r="L24" s="3" t="s">
        <v>6</v>
      </c>
      <c r="M24" s="3" t="s">
        <v>46</v>
      </c>
    </row>
    <row r="25" spans="1:13" ht="23.25" hidden="1" x14ac:dyDescent="0.35">
      <c r="A25" s="3" t="s">
        <v>259</v>
      </c>
      <c r="B25" s="3" t="str">
        <f t="shared" si="0"/>
        <v>PD</v>
      </c>
      <c r="C25" s="4" t="s">
        <v>47</v>
      </c>
      <c r="D25" s="3" t="s">
        <v>217</v>
      </c>
      <c r="E25" s="3" t="s">
        <v>218</v>
      </c>
      <c r="F25" s="3" t="s">
        <v>193</v>
      </c>
      <c r="G25" s="3"/>
      <c r="I25" s="4" t="s">
        <v>193</v>
      </c>
      <c r="J25" s="5">
        <v>46189</v>
      </c>
      <c r="K25" s="3" t="s">
        <v>219</v>
      </c>
      <c r="L25" s="3" t="s">
        <v>6</v>
      </c>
      <c r="M25" s="3" t="s">
        <v>46</v>
      </c>
    </row>
    <row r="26" spans="1:13" ht="34.9" hidden="1" x14ac:dyDescent="0.35">
      <c r="A26" s="3" t="s">
        <v>260</v>
      </c>
      <c r="B26" s="3" t="str">
        <f t="shared" si="0"/>
        <v>PD</v>
      </c>
      <c r="C26" s="4" t="s">
        <v>48</v>
      </c>
      <c r="D26" s="3" t="s">
        <v>220</v>
      </c>
      <c r="E26" s="3" t="s">
        <v>221</v>
      </c>
      <c r="F26" s="3" t="s">
        <v>193</v>
      </c>
      <c r="G26" s="3"/>
      <c r="I26" s="4" t="s">
        <v>193</v>
      </c>
      <c r="J26" s="5">
        <v>46189</v>
      </c>
      <c r="K26" s="3" t="s">
        <v>224</v>
      </c>
      <c r="L26" s="3" t="s">
        <v>6</v>
      </c>
      <c r="M26" s="3" t="s">
        <v>46</v>
      </c>
    </row>
    <row r="27" spans="1:13" ht="23.25" hidden="1" x14ac:dyDescent="0.35">
      <c r="A27" s="3" t="s">
        <v>261</v>
      </c>
      <c r="B27" s="3" t="str">
        <f t="shared" si="0"/>
        <v>PD</v>
      </c>
      <c r="C27" s="4" t="s">
        <v>49</v>
      </c>
      <c r="D27" s="3" t="s">
        <v>223</v>
      </c>
      <c r="E27" s="3" t="s">
        <v>222</v>
      </c>
      <c r="F27" s="3" t="s">
        <v>193</v>
      </c>
      <c r="G27" s="3"/>
      <c r="I27" s="4" t="s">
        <v>193</v>
      </c>
      <c r="J27" s="5">
        <v>46189</v>
      </c>
      <c r="K27" s="3"/>
      <c r="L27" s="3" t="s">
        <v>6</v>
      </c>
      <c r="M27" s="3" t="s">
        <v>50</v>
      </c>
    </row>
    <row r="28" spans="1:13" ht="23.25" hidden="1" x14ac:dyDescent="0.35">
      <c r="A28" s="3" t="s">
        <v>262</v>
      </c>
      <c r="B28" s="3" t="str">
        <f t="shared" si="0"/>
        <v>PD</v>
      </c>
      <c r="C28" s="4" t="s">
        <v>51</v>
      </c>
      <c r="D28" s="3" t="s">
        <v>225</v>
      </c>
      <c r="E28" s="3" t="s">
        <v>203</v>
      </c>
      <c r="F28" s="3" t="s">
        <v>193</v>
      </c>
      <c r="G28" s="3"/>
      <c r="I28" s="4" t="s">
        <v>193</v>
      </c>
      <c r="J28" s="5">
        <v>46189</v>
      </c>
      <c r="K28" s="3" t="s">
        <v>226</v>
      </c>
      <c r="L28" s="3" t="s">
        <v>6</v>
      </c>
      <c r="M28" s="3" t="s">
        <v>50</v>
      </c>
    </row>
    <row r="29" spans="1:13" ht="23.25" hidden="1" x14ac:dyDescent="0.35">
      <c r="A29" s="3" t="s">
        <v>263</v>
      </c>
      <c r="B29" s="3" t="str">
        <f t="shared" si="0"/>
        <v>RPTC</v>
      </c>
      <c r="C29" s="4" t="s">
        <v>52</v>
      </c>
      <c r="D29" s="3" t="s">
        <v>227</v>
      </c>
      <c r="E29" s="3" t="s">
        <v>203</v>
      </c>
      <c r="F29" s="3" t="s">
        <v>193</v>
      </c>
      <c r="G29" s="3"/>
      <c r="I29" s="4" t="s">
        <v>193</v>
      </c>
      <c r="J29" s="5">
        <v>46189</v>
      </c>
      <c r="K29" s="3" t="s">
        <v>228</v>
      </c>
      <c r="L29" s="3" t="s">
        <v>6</v>
      </c>
      <c r="M29" s="3" t="s">
        <v>50</v>
      </c>
    </row>
    <row r="30" spans="1:13" ht="23.25" hidden="1" x14ac:dyDescent="0.35">
      <c r="A30" s="3" t="s">
        <v>264</v>
      </c>
      <c r="B30" s="3" t="str">
        <f t="shared" si="0"/>
        <v>RPTC</v>
      </c>
      <c r="C30" s="4" t="s">
        <v>53</v>
      </c>
      <c r="D30" s="3" t="s">
        <v>206</v>
      </c>
      <c r="E30" s="3" t="s">
        <v>229</v>
      </c>
      <c r="F30" s="3" t="s">
        <v>197</v>
      </c>
      <c r="G30" s="3"/>
      <c r="I30" s="4" t="s">
        <v>203</v>
      </c>
      <c r="J30" s="5">
        <v>46189</v>
      </c>
      <c r="K30" s="3" t="s">
        <v>230</v>
      </c>
      <c r="L30" s="3" t="s">
        <v>6</v>
      </c>
      <c r="M30" s="3" t="s">
        <v>54</v>
      </c>
    </row>
    <row r="31" spans="1:13" hidden="1" x14ac:dyDescent="0.35">
      <c r="A31" s="3" t="s">
        <v>265</v>
      </c>
      <c r="B31" s="3" t="str">
        <f t="shared" si="0"/>
        <v>RPTC</v>
      </c>
      <c r="C31" s="4" t="s">
        <v>55</v>
      </c>
      <c r="D31" s="3" t="s">
        <v>206</v>
      </c>
      <c r="F31" s="3" t="s">
        <v>197</v>
      </c>
      <c r="G31" s="3"/>
      <c r="I31" s="4" t="s">
        <v>203</v>
      </c>
      <c r="J31" s="5">
        <v>46189</v>
      </c>
      <c r="K31" s="3"/>
      <c r="L31" s="3" t="s">
        <v>6</v>
      </c>
      <c r="M31" s="3" t="s">
        <v>54</v>
      </c>
    </row>
    <row r="32" spans="1:13" hidden="1" x14ac:dyDescent="0.35">
      <c r="A32" s="3" t="s">
        <v>266</v>
      </c>
      <c r="B32" s="3" t="str">
        <f t="shared" si="0"/>
        <v>RPTC</v>
      </c>
      <c r="C32" s="4" t="s">
        <v>56</v>
      </c>
      <c r="D32" s="3" t="s">
        <v>206</v>
      </c>
      <c r="F32" s="3" t="s">
        <v>197</v>
      </c>
      <c r="G32" s="3"/>
      <c r="I32" s="4" t="s">
        <v>203</v>
      </c>
      <c r="J32" s="5">
        <v>46189</v>
      </c>
      <c r="K32" s="3"/>
      <c r="L32" s="3" t="s">
        <v>6</v>
      </c>
      <c r="M32" s="3" t="s">
        <v>54</v>
      </c>
    </row>
    <row r="33" spans="1:13" ht="23.25" hidden="1" x14ac:dyDescent="0.35">
      <c r="A33" s="3" t="s">
        <v>267</v>
      </c>
      <c r="B33" s="3" t="str">
        <f t="shared" si="0"/>
        <v>RPTC</v>
      </c>
      <c r="C33" s="4" t="s">
        <v>57</v>
      </c>
      <c r="D33" s="3" t="s">
        <v>206</v>
      </c>
      <c r="F33" s="3" t="s">
        <v>197</v>
      </c>
      <c r="G33" s="3"/>
      <c r="I33" s="4" t="s">
        <v>203</v>
      </c>
      <c r="J33" s="5">
        <v>46189</v>
      </c>
      <c r="K33" s="3"/>
      <c r="L33" s="3" t="s">
        <v>6</v>
      </c>
      <c r="M33" s="3" t="s">
        <v>54</v>
      </c>
    </row>
    <row r="34" spans="1:13" hidden="1" x14ac:dyDescent="0.35">
      <c r="A34" s="3" t="s">
        <v>268</v>
      </c>
      <c r="B34" s="3" t="str">
        <f t="shared" ref="B34:B65" si="1">_xlfn.TEXTBEFORE(_xlfn.TEXTAFTER(A34,"[",-1),"]")</f>
        <v>RPTC</v>
      </c>
      <c r="C34" s="4" t="s">
        <v>58</v>
      </c>
      <c r="D34" s="3" t="s">
        <v>206</v>
      </c>
      <c r="F34" s="3" t="s">
        <v>197</v>
      </c>
      <c r="G34" s="3"/>
      <c r="I34" s="4" t="s">
        <v>203</v>
      </c>
      <c r="J34" s="5">
        <v>46189</v>
      </c>
      <c r="K34" s="3"/>
      <c r="L34" s="3" t="s">
        <v>6</v>
      </c>
      <c r="M34" s="3" t="s">
        <v>54</v>
      </c>
    </row>
    <row r="35" spans="1:13" hidden="1" x14ac:dyDescent="0.35">
      <c r="A35" s="3" t="s">
        <v>269</v>
      </c>
      <c r="B35" s="3" t="str">
        <f t="shared" si="1"/>
        <v>PDF</v>
      </c>
      <c r="C35" s="4" t="s">
        <v>59</v>
      </c>
      <c r="D35" s="3" t="s">
        <v>206</v>
      </c>
      <c r="F35" s="3" t="s">
        <v>197</v>
      </c>
      <c r="G35" s="3"/>
      <c r="I35" s="4" t="s">
        <v>203</v>
      </c>
      <c r="J35" s="5">
        <v>46189</v>
      </c>
      <c r="K35" s="3"/>
      <c r="L35" s="3" t="s">
        <v>6</v>
      </c>
      <c r="M35" s="3" t="s">
        <v>54</v>
      </c>
    </row>
    <row r="36" spans="1:13" ht="23.25" hidden="1" x14ac:dyDescent="0.35">
      <c r="A36" s="3" t="s">
        <v>270</v>
      </c>
      <c r="B36" s="3" t="str">
        <f t="shared" si="1"/>
        <v>About Cidy</v>
      </c>
      <c r="C36" s="4" t="s">
        <v>60</v>
      </c>
      <c r="D36" s="3" t="s">
        <v>206</v>
      </c>
      <c r="F36" s="3" t="s">
        <v>197</v>
      </c>
      <c r="G36" s="3"/>
      <c r="I36" s="4" t="s">
        <v>203</v>
      </c>
      <c r="J36" s="5">
        <v>46189</v>
      </c>
      <c r="K36" s="3"/>
      <c r="L36" s="3" t="s">
        <v>6</v>
      </c>
      <c r="M36" s="3" t="s">
        <v>61</v>
      </c>
    </row>
    <row r="37" spans="1:13" hidden="1" x14ac:dyDescent="0.35">
      <c r="A37" s="3" t="s">
        <v>271</v>
      </c>
      <c r="B37" s="3" t="str">
        <f t="shared" si="1"/>
        <v>About Cidy</v>
      </c>
      <c r="C37" s="4" t="s">
        <v>62</v>
      </c>
      <c r="D37" s="3" t="s">
        <v>231</v>
      </c>
      <c r="E37" s="3" t="s">
        <v>232</v>
      </c>
      <c r="F37" s="3" t="s">
        <v>193</v>
      </c>
      <c r="G37" s="3"/>
      <c r="I37" s="4" t="s">
        <v>193</v>
      </c>
      <c r="J37" s="5">
        <v>46189</v>
      </c>
      <c r="K37" s="3"/>
      <c r="L37" s="3" t="s">
        <v>6</v>
      </c>
      <c r="M37" s="3" t="s">
        <v>63</v>
      </c>
    </row>
    <row r="38" spans="1:13" ht="23.25" hidden="1" x14ac:dyDescent="0.35">
      <c r="A38" s="3" t="s">
        <v>272</v>
      </c>
      <c r="B38" s="3" t="str">
        <f t="shared" si="1"/>
        <v>About Cidy</v>
      </c>
      <c r="C38" s="4" t="s">
        <v>64</v>
      </c>
      <c r="D38" s="3" t="s">
        <v>233</v>
      </c>
      <c r="F38" s="3" t="s">
        <v>193</v>
      </c>
      <c r="G38" s="3"/>
      <c r="I38" s="4" t="s">
        <v>193</v>
      </c>
      <c r="J38" s="5">
        <v>46189</v>
      </c>
      <c r="K38" s="3"/>
      <c r="L38" s="3" t="s">
        <v>6</v>
      </c>
      <c r="M38" s="3" t="s">
        <v>65</v>
      </c>
    </row>
    <row r="39" spans="1:13" x14ac:dyDescent="0.35">
      <c r="A39" s="3" t="s">
        <v>273</v>
      </c>
      <c r="B39" s="3" t="str">
        <f t="shared" si="1"/>
        <v>DA</v>
      </c>
      <c r="C39" s="4" t="s">
        <v>66</v>
      </c>
      <c r="D39" s="6" t="s">
        <v>355</v>
      </c>
      <c r="E39" s="3" t="s">
        <v>356</v>
      </c>
      <c r="F39" s="3" t="s">
        <v>339</v>
      </c>
      <c r="G39" s="3"/>
      <c r="I39" s="4" t="s">
        <v>357</v>
      </c>
      <c r="J39" s="5">
        <v>46194</v>
      </c>
      <c r="K39" s="3"/>
      <c r="L39" s="3" t="s">
        <v>6</v>
      </c>
      <c r="M39" s="3" t="s">
        <v>65</v>
      </c>
    </row>
    <row r="40" spans="1:13" hidden="1" x14ac:dyDescent="0.35">
      <c r="A40" s="3" t="s">
        <v>274</v>
      </c>
      <c r="B40" s="3" t="str">
        <f t="shared" si="1"/>
        <v>RPTC</v>
      </c>
      <c r="C40" s="4" t="s">
        <v>67</v>
      </c>
      <c r="D40" s="3" t="s">
        <v>206</v>
      </c>
      <c r="E40" s="3" t="s">
        <v>234</v>
      </c>
      <c r="F40" s="3" t="s">
        <v>197</v>
      </c>
      <c r="G40" s="3"/>
      <c r="I40" s="4" t="s">
        <v>203</v>
      </c>
      <c r="J40" s="5">
        <v>46189</v>
      </c>
      <c r="K40" s="3"/>
      <c r="L40" s="3" t="s">
        <v>68</v>
      </c>
      <c r="M40" s="3" t="s">
        <v>69</v>
      </c>
    </row>
    <row r="41" spans="1:13" hidden="1" x14ac:dyDescent="0.35">
      <c r="A41" s="3" t="s">
        <v>275</v>
      </c>
      <c r="B41" s="3" t="str">
        <f t="shared" si="1"/>
        <v>PDF</v>
      </c>
      <c r="C41" s="4" t="s">
        <v>70</v>
      </c>
      <c r="F41" s="3"/>
      <c r="G41" s="3"/>
      <c r="J41" s="5"/>
      <c r="K41" s="3"/>
      <c r="L41" s="3" t="s">
        <v>71</v>
      </c>
      <c r="M41" s="3" t="s">
        <v>72</v>
      </c>
    </row>
    <row r="42" spans="1:13" hidden="1" x14ac:dyDescent="0.35">
      <c r="A42" s="3" t="s">
        <v>276</v>
      </c>
      <c r="B42" s="3" t="str">
        <f t="shared" si="1"/>
        <v>Not Sure</v>
      </c>
      <c r="C42" s="4" t="s">
        <v>73</v>
      </c>
      <c r="F42" s="3"/>
      <c r="G42" s="3"/>
      <c r="J42" s="5"/>
      <c r="K42" s="3"/>
      <c r="L42" s="3" t="s">
        <v>74</v>
      </c>
      <c r="M42" s="3" t="s">
        <v>75</v>
      </c>
    </row>
    <row r="43" spans="1:13" hidden="1" x14ac:dyDescent="0.35">
      <c r="A43" s="3" t="s">
        <v>277</v>
      </c>
      <c r="B43" s="3" t="str">
        <f t="shared" si="1"/>
        <v>Not Sure</v>
      </c>
      <c r="C43" s="4" t="s">
        <v>76</v>
      </c>
      <c r="F43" s="3"/>
      <c r="G43" s="3"/>
      <c r="J43" s="5"/>
      <c r="K43" s="3"/>
      <c r="L43" s="3" t="s">
        <v>77</v>
      </c>
      <c r="M43" s="3" t="s">
        <v>78</v>
      </c>
    </row>
    <row r="44" spans="1:13" hidden="1" x14ac:dyDescent="0.35">
      <c r="A44" s="3" t="s">
        <v>278</v>
      </c>
      <c r="B44" s="3" t="str">
        <f t="shared" si="1"/>
        <v>Not Sure</v>
      </c>
      <c r="C44" s="4" t="s">
        <v>79</v>
      </c>
      <c r="F44" s="3"/>
      <c r="G44" s="3"/>
      <c r="J44" s="5"/>
      <c r="K44" s="3"/>
      <c r="L44" s="3" t="s">
        <v>68</v>
      </c>
      <c r="M44" s="3" t="s">
        <v>80</v>
      </c>
    </row>
    <row r="45" spans="1:13" hidden="1" x14ac:dyDescent="0.35">
      <c r="A45" s="3" t="s">
        <v>279</v>
      </c>
      <c r="B45" s="3" t="str">
        <f t="shared" si="1"/>
        <v>Not Sure</v>
      </c>
      <c r="C45" s="4" t="s">
        <v>79</v>
      </c>
      <c r="F45" s="3"/>
      <c r="G45" s="3"/>
      <c r="J45" s="5"/>
      <c r="K45" s="3"/>
      <c r="L45" s="3" t="s">
        <v>81</v>
      </c>
      <c r="M45" s="3" t="s">
        <v>82</v>
      </c>
    </row>
    <row r="46" spans="1:13" ht="23.25" hidden="1" x14ac:dyDescent="0.35">
      <c r="A46" s="3" t="s">
        <v>280</v>
      </c>
      <c r="B46" s="3" t="str">
        <f t="shared" si="1"/>
        <v>Not Sure</v>
      </c>
      <c r="C46" s="4" t="s">
        <v>83</v>
      </c>
      <c r="F46" s="3"/>
      <c r="G46" s="3"/>
      <c r="J46" s="5"/>
      <c r="K46" s="3"/>
      <c r="L46" s="3" t="s">
        <v>84</v>
      </c>
      <c r="M46" s="3" t="s">
        <v>85</v>
      </c>
    </row>
    <row r="47" spans="1:13" hidden="1" x14ac:dyDescent="0.35">
      <c r="A47" s="3" t="s">
        <v>281</v>
      </c>
      <c r="B47" s="3" t="str">
        <f t="shared" si="1"/>
        <v>Not Sure</v>
      </c>
      <c r="C47" s="4" t="s">
        <v>86</v>
      </c>
      <c r="F47" s="3"/>
      <c r="G47" s="3"/>
      <c r="J47" s="5"/>
      <c r="K47" s="3"/>
      <c r="L47" s="3" t="s">
        <v>87</v>
      </c>
      <c r="M47" s="3" t="s">
        <v>88</v>
      </c>
    </row>
    <row r="48" spans="1:13" hidden="1" x14ac:dyDescent="0.35">
      <c r="A48" s="3" t="s">
        <v>282</v>
      </c>
      <c r="B48" s="3" t="str">
        <f t="shared" si="1"/>
        <v>Not Sure</v>
      </c>
      <c r="C48" s="4" t="s">
        <v>89</v>
      </c>
      <c r="F48" s="3"/>
      <c r="G48" s="3"/>
      <c r="J48" s="5"/>
      <c r="K48" s="3"/>
      <c r="L48" s="3" t="s">
        <v>71</v>
      </c>
      <c r="M48" s="3" t="s">
        <v>90</v>
      </c>
    </row>
    <row r="49" spans="1:13" hidden="1" x14ac:dyDescent="0.35">
      <c r="A49" s="3" t="s">
        <v>283</v>
      </c>
      <c r="B49" s="3" t="str">
        <f t="shared" si="1"/>
        <v>Not Sure</v>
      </c>
      <c r="C49" s="4" t="s">
        <v>91</v>
      </c>
      <c r="F49" s="3"/>
      <c r="G49" s="3"/>
      <c r="J49" s="5"/>
      <c r="K49" s="3"/>
      <c r="L49" s="3" t="s">
        <v>92</v>
      </c>
      <c r="M49" s="3" t="s">
        <v>93</v>
      </c>
    </row>
    <row r="50" spans="1:13" hidden="1" x14ac:dyDescent="0.35">
      <c r="A50" s="3" t="s">
        <v>284</v>
      </c>
      <c r="B50" s="3" t="str">
        <f t="shared" si="1"/>
        <v>Not Sure</v>
      </c>
      <c r="C50" s="4" t="s">
        <v>91</v>
      </c>
      <c r="F50" s="3"/>
      <c r="G50" s="3"/>
      <c r="J50" s="5"/>
      <c r="K50" s="3"/>
      <c r="L50" s="3" t="s">
        <v>94</v>
      </c>
      <c r="M50" s="3" t="s">
        <v>95</v>
      </c>
    </row>
    <row r="51" spans="1:13" hidden="1" x14ac:dyDescent="0.35">
      <c r="A51" s="3" t="s">
        <v>285</v>
      </c>
      <c r="B51" s="3" t="str">
        <f t="shared" si="1"/>
        <v>Not Sure</v>
      </c>
      <c r="C51" s="4" t="s">
        <v>96</v>
      </c>
      <c r="F51" s="3"/>
      <c r="G51" s="3"/>
      <c r="J51" s="5"/>
      <c r="K51" s="3"/>
      <c r="L51" s="3" t="s">
        <v>97</v>
      </c>
      <c r="M51" s="3" t="s">
        <v>98</v>
      </c>
    </row>
    <row r="52" spans="1:13" hidden="1" x14ac:dyDescent="0.35">
      <c r="A52" s="3" t="s">
        <v>286</v>
      </c>
      <c r="B52" s="3" t="str">
        <f t="shared" si="1"/>
        <v>Not Sure</v>
      </c>
      <c r="C52" s="4" t="s">
        <v>99</v>
      </c>
      <c r="F52" s="3"/>
      <c r="G52" s="3"/>
      <c r="J52" s="5"/>
      <c r="K52" s="3"/>
      <c r="L52" s="3" t="s">
        <v>100</v>
      </c>
      <c r="M52" s="3" t="s">
        <v>101</v>
      </c>
    </row>
    <row r="53" spans="1:13" hidden="1" x14ac:dyDescent="0.35">
      <c r="A53" s="3" t="s">
        <v>287</v>
      </c>
      <c r="B53" s="3" t="str">
        <f t="shared" si="1"/>
        <v>Not Sure</v>
      </c>
      <c r="C53" s="4" t="s">
        <v>102</v>
      </c>
      <c r="F53" s="3"/>
      <c r="G53" s="3"/>
      <c r="J53" s="5"/>
      <c r="K53" s="3"/>
      <c r="L53" s="3" t="s">
        <v>103</v>
      </c>
      <c r="M53" s="3" t="s">
        <v>104</v>
      </c>
    </row>
    <row r="54" spans="1:13" hidden="1" x14ac:dyDescent="0.35">
      <c r="A54" s="3" t="s">
        <v>288</v>
      </c>
      <c r="B54" s="3" t="str">
        <f t="shared" si="1"/>
        <v>Not Sure</v>
      </c>
      <c r="C54" s="4" t="s">
        <v>105</v>
      </c>
      <c r="F54" s="3"/>
      <c r="G54" s="3"/>
      <c r="J54" s="5"/>
      <c r="K54" s="3"/>
      <c r="L54" s="3" t="s">
        <v>106</v>
      </c>
      <c r="M54" s="3" t="s">
        <v>107</v>
      </c>
    </row>
    <row r="55" spans="1:13" hidden="1" x14ac:dyDescent="0.35">
      <c r="A55" s="3" t="s">
        <v>289</v>
      </c>
      <c r="B55" s="3" t="str">
        <f t="shared" si="1"/>
        <v>Not Sure</v>
      </c>
      <c r="C55" s="4" t="s">
        <v>108</v>
      </c>
      <c r="F55" s="3"/>
      <c r="G55" s="3"/>
      <c r="J55" s="5"/>
      <c r="K55" s="3"/>
      <c r="L55" s="3" t="s">
        <v>109</v>
      </c>
      <c r="M55" s="3" t="s">
        <v>110</v>
      </c>
    </row>
    <row r="56" spans="1:13" hidden="1" x14ac:dyDescent="0.35">
      <c r="A56" s="3" t="s">
        <v>290</v>
      </c>
      <c r="B56" s="3" t="str">
        <f t="shared" si="1"/>
        <v>Not Sure</v>
      </c>
      <c r="C56" s="4" t="s">
        <v>111</v>
      </c>
      <c r="F56" s="3"/>
      <c r="G56" s="3"/>
      <c r="J56" s="5"/>
      <c r="K56" s="3"/>
      <c r="L56" s="3" t="s">
        <v>112</v>
      </c>
      <c r="M56" s="3" t="s">
        <v>113</v>
      </c>
    </row>
    <row r="57" spans="1:13" hidden="1" x14ac:dyDescent="0.35">
      <c r="A57" s="3" t="s">
        <v>291</v>
      </c>
      <c r="B57" s="3" t="str">
        <f t="shared" si="1"/>
        <v>Not Sure</v>
      </c>
      <c r="C57" s="4" t="s">
        <v>111</v>
      </c>
      <c r="F57" s="3"/>
      <c r="G57" s="3"/>
      <c r="J57" s="5"/>
      <c r="K57" s="3"/>
      <c r="L57" s="3" t="s">
        <v>114</v>
      </c>
      <c r="M57" s="3" t="s">
        <v>115</v>
      </c>
    </row>
    <row r="58" spans="1:13" hidden="1" x14ac:dyDescent="0.35">
      <c r="A58" s="3" t="s">
        <v>292</v>
      </c>
      <c r="B58" s="3" t="str">
        <f t="shared" si="1"/>
        <v>Not Sure</v>
      </c>
      <c r="C58" s="4" t="s">
        <v>116</v>
      </c>
      <c r="F58" s="3"/>
      <c r="G58" s="3"/>
      <c r="J58" s="3"/>
      <c r="K58" s="3"/>
      <c r="L58" s="3" t="s">
        <v>6</v>
      </c>
      <c r="M58" s="3" t="s">
        <v>117</v>
      </c>
    </row>
    <row r="59" spans="1:13" hidden="1" x14ac:dyDescent="0.35">
      <c r="A59" s="3" t="s">
        <v>293</v>
      </c>
      <c r="B59" s="3" t="str">
        <f t="shared" si="1"/>
        <v>Not Sure</v>
      </c>
      <c r="C59" s="4" t="s">
        <v>118</v>
      </c>
      <c r="F59" s="3"/>
      <c r="G59" s="3"/>
      <c r="J59" s="3"/>
      <c r="K59" s="3"/>
      <c r="L59" s="3" t="s">
        <v>6</v>
      </c>
      <c r="M59" s="3" t="s">
        <v>119</v>
      </c>
    </row>
    <row r="60" spans="1:13" hidden="1" x14ac:dyDescent="0.35">
      <c r="A60" s="3" t="s">
        <v>294</v>
      </c>
      <c r="B60" s="3" t="str">
        <f t="shared" si="1"/>
        <v>Not Sure</v>
      </c>
      <c r="C60" s="4" t="s">
        <v>105</v>
      </c>
      <c r="F60" s="3"/>
      <c r="G60" s="3"/>
      <c r="J60" s="3"/>
      <c r="K60" s="3"/>
      <c r="L60" s="3" t="s">
        <v>6</v>
      </c>
      <c r="M60" s="3" t="s">
        <v>120</v>
      </c>
    </row>
    <row r="61" spans="1:13" hidden="1" x14ac:dyDescent="0.35">
      <c r="A61" s="3" t="s">
        <v>295</v>
      </c>
      <c r="B61" s="3" t="str">
        <f t="shared" si="1"/>
        <v>Not Sure</v>
      </c>
      <c r="C61" s="4" t="s">
        <v>121</v>
      </c>
      <c r="F61" s="3"/>
      <c r="G61" s="3"/>
      <c r="J61" s="3"/>
      <c r="K61" s="3"/>
      <c r="L61" s="3" t="s">
        <v>6</v>
      </c>
      <c r="M61" s="3" t="s">
        <v>122</v>
      </c>
    </row>
    <row r="62" spans="1:13" hidden="1" x14ac:dyDescent="0.35">
      <c r="A62" s="3" t="s">
        <v>296</v>
      </c>
      <c r="B62" s="3" t="str">
        <f t="shared" si="1"/>
        <v>OOS</v>
      </c>
      <c r="C62" s="4" t="s">
        <v>123</v>
      </c>
      <c r="F62" s="3"/>
      <c r="G62" s="3"/>
      <c r="J62" s="3"/>
      <c r="K62" s="3"/>
      <c r="L62" s="3" t="s">
        <v>6</v>
      </c>
      <c r="M62" s="3" t="s">
        <v>124</v>
      </c>
    </row>
    <row r="63" spans="1:13" hidden="1" x14ac:dyDescent="0.35">
      <c r="A63" s="3" t="s">
        <v>297</v>
      </c>
      <c r="B63" s="3" t="str">
        <f t="shared" si="1"/>
        <v>OOS</v>
      </c>
      <c r="C63" s="4" t="s">
        <v>125</v>
      </c>
      <c r="F63" s="3"/>
      <c r="G63" s="3"/>
      <c r="J63" s="3"/>
      <c r="K63" s="3"/>
      <c r="L63" s="3" t="s">
        <v>6</v>
      </c>
      <c r="M63" s="3" t="s">
        <v>126</v>
      </c>
    </row>
    <row r="64" spans="1:13" hidden="1" x14ac:dyDescent="0.35">
      <c r="A64" s="3" t="s">
        <v>298</v>
      </c>
      <c r="B64" s="3" t="str">
        <f t="shared" si="1"/>
        <v>OOS</v>
      </c>
      <c r="C64" s="4" t="s">
        <v>127</v>
      </c>
      <c r="F64" s="3"/>
      <c r="G64" s="3"/>
      <c r="J64" s="3"/>
      <c r="K64" s="3"/>
      <c r="L64" s="3" t="s">
        <v>6</v>
      </c>
      <c r="M64" s="3" t="s">
        <v>128</v>
      </c>
    </row>
    <row r="65" spans="1:14" hidden="1" x14ac:dyDescent="0.35">
      <c r="A65" s="3" t="s">
        <v>299</v>
      </c>
      <c r="B65" s="3" t="str">
        <f t="shared" si="1"/>
        <v>OOS</v>
      </c>
      <c r="C65" s="4" t="s">
        <v>129</v>
      </c>
      <c r="D65" s="3" t="s">
        <v>199</v>
      </c>
      <c r="F65" s="3" t="s">
        <v>193</v>
      </c>
      <c r="G65" s="3"/>
      <c r="H65" s="4" t="s">
        <v>194</v>
      </c>
      <c r="J65" s="3"/>
      <c r="K65" s="3"/>
      <c r="L65" s="3" t="s">
        <v>6</v>
      </c>
      <c r="M65" s="3" t="s">
        <v>130</v>
      </c>
    </row>
    <row r="66" spans="1:14" hidden="1" x14ac:dyDescent="0.35">
      <c r="A66" s="3" t="s">
        <v>300</v>
      </c>
      <c r="B66" s="3" t="str">
        <f t="shared" ref="B66:B97" si="2">_xlfn.TEXTBEFORE(_xlfn.TEXTAFTER(A66,"[",-1),"]")</f>
        <v>OOS</v>
      </c>
      <c r="C66" s="4" t="s">
        <v>131</v>
      </c>
      <c r="F66" s="3"/>
      <c r="G66" s="3"/>
      <c r="J66" s="3"/>
      <c r="K66" s="3"/>
      <c r="L66" s="3" t="s">
        <v>6</v>
      </c>
      <c r="M66" s="3" t="s">
        <v>132</v>
      </c>
    </row>
    <row r="67" spans="1:14" hidden="1" x14ac:dyDescent="0.35">
      <c r="A67" s="3" t="s">
        <v>301</v>
      </c>
      <c r="B67" s="3" t="str">
        <f t="shared" si="2"/>
        <v>RPTC</v>
      </c>
      <c r="C67" s="4" t="s">
        <v>133</v>
      </c>
      <c r="F67" s="3"/>
      <c r="G67" s="3"/>
      <c r="J67" s="3"/>
      <c r="K67" s="3"/>
      <c r="L67" s="3" t="s">
        <v>6</v>
      </c>
      <c r="M67" s="3" t="s">
        <v>132</v>
      </c>
    </row>
    <row r="68" spans="1:14" ht="23.25" hidden="1" x14ac:dyDescent="0.35">
      <c r="A68" s="3" t="s">
        <v>302</v>
      </c>
      <c r="B68" s="3" t="str">
        <f t="shared" si="2"/>
        <v>RPTC</v>
      </c>
      <c r="C68" s="4" t="s">
        <v>134</v>
      </c>
      <c r="F68" s="3"/>
      <c r="G68" s="3"/>
      <c r="J68" s="3"/>
      <c r="K68" s="3"/>
      <c r="L68" s="3" t="s">
        <v>6</v>
      </c>
      <c r="M68" s="3" t="s">
        <v>54</v>
      </c>
      <c r="N68" s="3" t="s">
        <v>135</v>
      </c>
    </row>
    <row r="69" spans="1:14" ht="23.25" hidden="1" x14ac:dyDescent="0.35">
      <c r="A69" s="3" t="s">
        <v>303</v>
      </c>
      <c r="B69" s="3" t="str">
        <f t="shared" si="2"/>
        <v>RPTC</v>
      </c>
      <c r="C69" s="4" t="s">
        <v>136</v>
      </c>
      <c r="F69" s="3"/>
      <c r="G69" s="3"/>
      <c r="J69" s="3"/>
      <c r="K69" s="3"/>
      <c r="L69" s="3" t="s">
        <v>6</v>
      </c>
      <c r="M69" s="3" t="s">
        <v>54</v>
      </c>
      <c r="N69" s="3" t="s">
        <v>135</v>
      </c>
    </row>
    <row r="70" spans="1:14" ht="34.9" hidden="1" x14ac:dyDescent="0.35">
      <c r="A70" s="3" t="s">
        <v>304</v>
      </c>
      <c r="B70" s="3" t="str">
        <f t="shared" si="2"/>
        <v>RPTC</v>
      </c>
      <c r="C70" s="4" t="s">
        <v>137</v>
      </c>
      <c r="F70" s="3"/>
      <c r="G70" s="3"/>
      <c r="J70" s="3"/>
      <c r="K70" s="3"/>
      <c r="L70" s="3" t="s">
        <v>6</v>
      </c>
      <c r="M70" s="3" t="s">
        <v>54</v>
      </c>
      <c r="N70" s="3" t="s">
        <v>135</v>
      </c>
    </row>
    <row r="71" spans="1:14" ht="23.25" hidden="1" x14ac:dyDescent="0.35">
      <c r="A71" s="3" t="s">
        <v>305</v>
      </c>
      <c r="B71" s="3" t="str">
        <f t="shared" si="2"/>
        <v>RPTC</v>
      </c>
      <c r="C71" s="4" t="s">
        <v>138</v>
      </c>
      <c r="F71" s="3"/>
      <c r="G71" s="3"/>
      <c r="J71" s="3"/>
      <c r="K71" s="3"/>
      <c r="L71" s="3" t="s">
        <v>6</v>
      </c>
      <c r="M71" s="3" t="s">
        <v>54</v>
      </c>
      <c r="N71" s="3" t="s">
        <v>135</v>
      </c>
    </row>
    <row r="72" spans="1:14" ht="23.25" hidden="1" x14ac:dyDescent="0.35">
      <c r="A72" s="3" t="s">
        <v>306</v>
      </c>
      <c r="B72" s="3" t="str">
        <f t="shared" si="2"/>
        <v>RPTC</v>
      </c>
      <c r="C72" s="4" t="s">
        <v>139</v>
      </c>
      <c r="F72" s="3"/>
      <c r="G72" s="3"/>
      <c r="J72" s="3"/>
      <c r="K72" s="3"/>
      <c r="L72" s="3" t="s">
        <v>6</v>
      </c>
      <c r="M72" s="3" t="s">
        <v>54</v>
      </c>
      <c r="N72" s="3" t="s">
        <v>135</v>
      </c>
    </row>
    <row r="73" spans="1:14" ht="34.9" hidden="1" x14ac:dyDescent="0.35">
      <c r="A73" s="3" t="s">
        <v>307</v>
      </c>
      <c r="B73" s="3" t="str">
        <f t="shared" si="2"/>
        <v>RPTC</v>
      </c>
      <c r="C73" s="4" t="s">
        <v>140</v>
      </c>
      <c r="F73" s="3"/>
      <c r="G73" s="3"/>
      <c r="J73" s="3"/>
      <c r="K73" s="3"/>
      <c r="L73" s="3" t="s">
        <v>6</v>
      </c>
      <c r="M73" s="3" t="s">
        <v>141</v>
      </c>
      <c r="N73" s="3" t="s">
        <v>135</v>
      </c>
    </row>
    <row r="74" spans="1:14" ht="34.9" hidden="1" x14ac:dyDescent="0.35">
      <c r="A74" s="3" t="s">
        <v>308</v>
      </c>
      <c r="B74" s="3" t="str">
        <f t="shared" si="2"/>
        <v>RPTC</v>
      </c>
      <c r="C74" s="4" t="s">
        <v>142</v>
      </c>
      <c r="F74" s="3"/>
      <c r="G74" s="3"/>
      <c r="J74" s="3"/>
      <c r="K74" s="3"/>
      <c r="L74" s="3" t="s">
        <v>6</v>
      </c>
      <c r="M74" s="3" t="s">
        <v>141</v>
      </c>
      <c r="N74" s="3" t="s">
        <v>135</v>
      </c>
    </row>
    <row r="75" spans="1:14" ht="23.25" hidden="1" x14ac:dyDescent="0.35">
      <c r="A75" s="3" t="s">
        <v>309</v>
      </c>
      <c r="B75" s="3" t="str">
        <f t="shared" si="2"/>
        <v>RPTC</v>
      </c>
      <c r="C75" s="4" t="s">
        <v>143</v>
      </c>
      <c r="F75" s="3"/>
      <c r="G75" s="3"/>
      <c r="J75" s="3"/>
      <c r="K75" s="3"/>
      <c r="L75" s="3" t="s">
        <v>6</v>
      </c>
      <c r="M75" s="3" t="s">
        <v>141</v>
      </c>
      <c r="N75" s="3" t="s">
        <v>135</v>
      </c>
    </row>
    <row r="76" spans="1:14" ht="34.9" hidden="1" x14ac:dyDescent="0.35">
      <c r="A76" s="3" t="s">
        <v>310</v>
      </c>
      <c r="B76" s="3" t="str">
        <f t="shared" si="2"/>
        <v>RPTC</v>
      </c>
      <c r="C76" s="4" t="s">
        <v>144</v>
      </c>
      <c r="F76" s="3"/>
      <c r="G76" s="3"/>
      <c r="J76" s="3"/>
      <c r="K76" s="3"/>
      <c r="L76" s="3" t="s">
        <v>6</v>
      </c>
      <c r="M76" s="3" t="s">
        <v>141</v>
      </c>
      <c r="N76" s="3" t="s">
        <v>135</v>
      </c>
    </row>
    <row r="77" spans="1:14" ht="34.9" hidden="1" x14ac:dyDescent="0.35">
      <c r="A77" s="3" t="s">
        <v>311</v>
      </c>
      <c r="B77" s="3" t="str">
        <f t="shared" si="2"/>
        <v>RPTC</v>
      </c>
      <c r="C77" s="4" t="s">
        <v>145</v>
      </c>
      <c r="F77" s="3"/>
      <c r="G77" s="3"/>
      <c r="J77" s="3"/>
      <c r="K77" s="3"/>
      <c r="L77" s="3" t="s">
        <v>6</v>
      </c>
      <c r="M77" s="3" t="s">
        <v>141</v>
      </c>
      <c r="N77" s="3" t="s">
        <v>135</v>
      </c>
    </row>
    <row r="78" spans="1:14" ht="23.25" hidden="1" x14ac:dyDescent="0.35">
      <c r="A78" s="3" t="s">
        <v>312</v>
      </c>
      <c r="B78" s="3" t="str">
        <f t="shared" si="2"/>
        <v>PD</v>
      </c>
      <c r="C78" s="4" t="s">
        <v>146</v>
      </c>
      <c r="F78" s="3"/>
      <c r="G78" s="3"/>
      <c r="J78" s="3"/>
      <c r="K78" s="3"/>
      <c r="L78" s="3" t="s">
        <v>6</v>
      </c>
      <c r="M78" s="3" t="s">
        <v>147</v>
      </c>
      <c r="N78" s="3" t="s">
        <v>148</v>
      </c>
    </row>
    <row r="79" spans="1:14" ht="23.25" hidden="1" x14ac:dyDescent="0.35">
      <c r="A79" s="3" t="s">
        <v>313</v>
      </c>
      <c r="B79" s="3" t="str">
        <f t="shared" si="2"/>
        <v>PD</v>
      </c>
      <c r="C79" s="4" t="s">
        <v>149</v>
      </c>
      <c r="F79" s="3"/>
      <c r="G79" s="3"/>
      <c r="J79" s="3"/>
      <c r="K79" s="3"/>
      <c r="L79" s="3" t="s">
        <v>6</v>
      </c>
      <c r="M79" s="3" t="s">
        <v>147</v>
      </c>
      <c r="N79" s="3" t="s">
        <v>148</v>
      </c>
    </row>
    <row r="80" spans="1:14" ht="23.25" hidden="1" x14ac:dyDescent="0.35">
      <c r="A80" s="3" t="s">
        <v>314</v>
      </c>
      <c r="B80" s="3" t="str">
        <f t="shared" si="2"/>
        <v>PD</v>
      </c>
      <c r="C80" s="4" t="s">
        <v>150</v>
      </c>
      <c r="F80" s="3"/>
      <c r="G80" s="3"/>
      <c r="J80" s="3"/>
      <c r="K80" s="3"/>
      <c r="L80" s="3" t="s">
        <v>6</v>
      </c>
      <c r="M80" s="3" t="s">
        <v>147</v>
      </c>
      <c r="N80" s="3" t="s">
        <v>148</v>
      </c>
    </row>
    <row r="81" spans="1:14" hidden="1" x14ac:dyDescent="0.35">
      <c r="A81" s="3" t="s">
        <v>315</v>
      </c>
      <c r="B81" s="3" t="str">
        <f t="shared" si="2"/>
        <v>PD</v>
      </c>
      <c r="C81" s="4" t="s">
        <v>151</v>
      </c>
      <c r="F81" s="3"/>
      <c r="G81" s="3"/>
      <c r="J81" s="3"/>
      <c r="K81" s="3"/>
      <c r="L81" s="3" t="s">
        <v>6</v>
      </c>
      <c r="M81" s="3" t="s">
        <v>152</v>
      </c>
      <c r="N81" s="3" t="s">
        <v>148</v>
      </c>
    </row>
    <row r="82" spans="1:14" ht="23.25" hidden="1" x14ac:dyDescent="0.35">
      <c r="A82" s="3" t="s">
        <v>316</v>
      </c>
      <c r="B82" s="3" t="str">
        <f t="shared" si="2"/>
        <v>Not Sure</v>
      </c>
      <c r="C82" s="4" t="s">
        <v>153</v>
      </c>
      <c r="F82" s="3"/>
      <c r="G82" s="3"/>
      <c r="J82" s="3"/>
      <c r="K82" s="3"/>
      <c r="L82" s="3" t="s">
        <v>6</v>
      </c>
      <c r="M82" s="3" t="s">
        <v>152</v>
      </c>
      <c r="N82" s="3" t="s">
        <v>148</v>
      </c>
    </row>
    <row r="83" spans="1:14" ht="23.25" hidden="1" x14ac:dyDescent="0.35">
      <c r="A83" s="3" t="s">
        <v>317</v>
      </c>
      <c r="B83" s="3" t="str">
        <f t="shared" si="2"/>
        <v>About Cidy</v>
      </c>
      <c r="C83" s="4" t="s">
        <v>154</v>
      </c>
      <c r="F83" s="3"/>
      <c r="G83" s="3"/>
      <c r="J83" s="3"/>
      <c r="K83" s="3"/>
      <c r="L83" s="3" t="s">
        <v>81</v>
      </c>
      <c r="M83" s="3" t="s">
        <v>155</v>
      </c>
      <c r="N83" s="3" t="s">
        <v>148</v>
      </c>
    </row>
    <row r="84" spans="1:14" ht="23.25" hidden="1" x14ac:dyDescent="0.35">
      <c r="A84" s="3" t="s">
        <v>318</v>
      </c>
      <c r="B84" s="3" t="str">
        <f t="shared" si="2"/>
        <v>About Cidy</v>
      </c>
      <c r="C84" s="4" t="s">
        <v>156</v>
      </c>
      <c r="F84" s="3"/>
      <c r="G84" s="3"/>
      <c r="J84" s="3"/>
      <c r="K84" s="3"/>
      <c r="L84" s="3" t="s">
        <v>6</v>
      </c>
      <c r="M84" s="3" t="s">
        <v>157</v>
      </c>
      <c r="N84" s="3" t="s">
        <v>148</v>
      </c>
    </row>
    <row r="85" spans="1:14" ht="23.25" hidden="1" x14ac:dyDescent="0.35">
      <c r="A85" s="3" t="s">
        <v>271</v>
      </c>
      <c r="B85" s="3" t="str">
        <f t="shared" si="2"/>
        <v>About Cidy</v>
      </c>
      <c r="C85" s="4" t="s">
        <v>158</v>
      </c>
      <c r="F85" s="3"/>
      <c r="G85" s="3"/>
      <c r="J85" s="3"/>
      <c r="K85" s="3"/>
      <c r="L85" s="3" t="s">
        <v>6</v>
      </c>
      <c r="M85" s="3" t="s">
        <v>159</v>
      </c>
      <c r="N85" s="3" t="s">
        <v>148</v>
      </c>
    </row>
    <row r="86" spans="1:14" ht="23.25" hidden="1" x14ac:dyDescent="0.35">
      <c r="A86" s="3" t="s">
        <v>319</v>
      </c>
      <c r="B86" s="3" t="str">
        <f t="shared" si="2"/>
        <v>About Cidy</v>
      </c>
      <c r="C86" s="4" t="s">
        <v>160</v>
      </c>
      <c r="F86" s="3"/>
      <c r="G86" s="3"/>
      <c r="J86" s="3"/>
      <c r="K86" s="3"/>
      <c r="L86" s="3" t="s">
        <v>6</v>
      </c>
      <c r="M86" s="3" t="s">
        <v>159</v>
      </c>
      <c r="N86" s="3" t="s">
        <v>148</v>
      </c>
    </row>
    <row r="87" spans="1:14" ht="34.9" hidden="1" x14ac:dyDescent="0.35">
      <c r="A87" s="3" t="s">
        <v>320</v>
      </c>
      <c r="B87" s="3" t="str">
        <f t="shared" si="2"/>
        <v>About Cidy</v>
      </c>
      <c r="C87" s="4" t="s">
        <v>161</v>
      </c>
      <c r="F87" s="3"/>
      <c r="G87" s="3"/>
      <c r="J87" s="3"/>
      <c r="K87" s="3"/>
      <c r="L87" s="3" t="s">
        <v>6</v>
      </c>
      <c r="M87" s="3" t="s">
        <v>159</v>
      </c>
      <c r="N87" s="3" t="s">
        <v>148</v>
      </c>
    </row>
    <row r="88" spans="1:14" ht="23.25" hidden="1" x14ac:dyDescent="0.35">
      <c r="A88" s="3" t="s">
        <v>321</v>
      </c>
      <c r="B88" s="3" t="str">
        <f t="shared" si="2"/>
        <v>About Cidy</v>
      </c>
      <c r="C88" s="4" t="s">
        <v>162</v>
      </c>
      <c r="F88" s="3"/>
      <c r="G88" s="3"/>
      <c r="J88" s="3"/>
      <c r="K88" s="3"/>
      <c r="L88" s="3" t="s">
        <v>6</v>
      </c>
      <c r="M88" s="3" t="s">
        <v>159</v>
      </c>
      <c r="N88" s="3" t="s">
        <v>148</v>
      </c>
    </row>
    <row r="89" spans="1:14" ht="23.25" hidden="1" x14ac:dyDescent="0.35">
      <c r="A89" s="3" t="s">
        <v>322</v>
      </c>
      <c r="B89" s="3" t="str">
        <f t="shared" si="2"/>
        <v>About Cidy</v>
      </c>
      <c r="C89" s="4" t="s">
        <v>163</v>
      </c>
      <c r="F89" s="3"/>
      <c r="G89" s="3"/>
      <c r="J89" s="3"/>
      <c r="K89" s="3"/>
      <c r="L89" s="3" t="s">
        <v>6</v>
      </c>
      <c r="M89" s="3" t="s">
        <v>159</v>
      </c>
      <c r="N89" s="3" t="s">
        <v>148</v>
      </c>
    </row>
    <row r="90" spans="1:14" ht="23.25" hidden="1" x14ac:dyDescent="0.35">
      <c r="A90" s="3" t="s">
        <v>323</v>
      </c>
      <c r="B90" s="3" t="str">
        <f t="shared" si="2"/>
        <v>About Cidy</v>
      </c>
      <c r="C90" s="4" t="s">
        <v>164</v>
      </c>
      <c r="F90" s="3"/>
      <c r="G90" s="3"/>
      <c r="J90" s="3"/>
      <c r="K90" s="3"/>
      <c r="L90" s="3" t="s">
        <v>6</v>
      </c>
      <c r="M90" s="3" t="s">
        <v>159</v>
      </c>
      <c r="N90" s="3" t="s">
        <v>148</v>
      </c>
    </row>
    <row r="91" spans="1:14" ht="23.25" hidden="1" x14ac:dyDescent="0.35">
      <c r="A91" s="3" t="s">
        <v>324</v>
      </c>
      <c r="B91" s="3" t="str">
        <f t="shared" si="2"/>
        <v>Greeting</v>
      </c>
      <c r="C91" s="4" t="s">
        <v>165</v>
      </c>
      <c r="F91" s="3"/>
      <c r="G91" s="3"/>
      <c r="J91" s="3"/>
      <c r="K91" s="3"/>
      <c r="L91" s="3" t="s">
        <v>6</v>
      </c>
      <c r="M91" s="3" t="s">
        <v>159</v>
      </c>
      <c r="N91" s="3" t="s">
        <v>148</v>
      </c>
    </row>
    <row r="92" spans="1:14" hidden="1" x14ac:dyDescent="0.35">
      <c r="A92" s="3" t="s">
        <v>325</v>
      </c>
      <c r="B92" s="3" t="str">
        <f t="shared" si="2"/>
        <v>Greeting</v>
      </c>
      <c r="C92" s="4" t="s">
        <v>166</v>
      </c>
      <c r="F92" s="3"/>
      <c r="G92" s="3"/>
      <c r="J92" s="3"/>
      <c r="K92" s="3"/>
      <c r="L92" s="3" t="s">
        <v>6</v>
      </c>
      <c r="M92" s="3" t="s">
        <v>167</v>
      </c>
      <c r="N92" s="3" t="s">
        <v>168</v>
      </c>
    </row>
    <row r="93" spans="1:14" hidden="1" x14ac:dyDescent="0.35">
      <c r="A93" s="3" t="s">
        <v>326</v>
      </c>
      <c r="B93" s="3" t="str">
        <f t="shared" si="2"/>
        <v>Greeting</v>
      </c>
      <c r="C93" s="4" t="s">
        <v>169</v>
      </c>
      <c r="F93" s="3"/>
      <c r="G93" s="3"/>
      <c r="J93" s="3"/>
      <c r="K93" s="3"/>
      <c r="L93" s="3" t="s">
        <v>6</v>
      </c>
      <c r="M93" s="3" t="s">
        <v>167</v>
      </c>
      <c r="N93" s="3" t="s">
        <v>168</v>
      </c>
    </row>
    <row r="94" spans="1:14" ht="23.25" hidden="1" x14ac:dyDescent="0.35">
      <c r="A94" s="3" t="s">
        <v>327</v>
      </c>
      <c r="B94" s="3" t="str">
        <f t="shared" si="2"/>
        <v>Exit Flow</v>
      </c>
      <c r="C94" s="4" t="s">
        <v>170</v>
      </c>
      <c r="F94" s="3"/>
      <c r="G94" s="3"/>
      <c r="J94" s="3"/>
      <c r="K94" s="3"/>
      <c r="L94" s="3" t="s">
        <v>6</v>
      </c>
      <c r="M94" s="3" t="s">
        <v>171</v>
      </c>
      <c r="N94" s="3" t="s">
        <v>168</v>
      </c>
    </row>
    <row r="95" spans="1:14" hidden="1" x14ac:dyDescent="0.35">
      <c r="A95" s="3" t="s">
        <v>328</v>
      </c>
      <c r="B95" s="3" t="str">
        <f t="shared" si="2"/>
        <v>Exit Flow</v>
      </c>
      <c r="C95" s="4" t="s">
        <v>172</v>
      </c>
      <c r="F95" s="3"/>
      <c r="G95" s="3"/>
      <c r="J95" s="3"/>
      <c r="K95" s="3"/>
      <c r="L95" s="3" t="s">
        <v>6</v>
      </c>
      <c r="M95" s="3" t="s">
        <v>173</v>
      </c>
      <c r="N95" s="3" t="s">
        <v>174</v>
      </c>
    </row>
    <row r="96" spans="1:14" hidden="1" x14ac:dyDescent="0.35">
      <c r="A96" s="3" t="s">
        <v>329</v>
      </c>
      <c r="B96" s="3" t="str">
        <f t="shared" si="2"/>
        <v>Exit Flow</v>
      </c>
      <c r="C96" s="4" t="s">
        <v>175</v>
      </c>
      <c r="F96" s="3"/>
      <c r="G96" s="3"/>
      <c r="J96" s="3"/>
      <c r="K96" s="3"/>
      <c r="L96" s="3" t="s">
        <v>6</v>
      </c>
      <c r="M96" s="3" t="s">
        <v>176</v>
      </c>
      <c r="N96" s="3" t="s">
        <v>174</v>
      </c>
    </row>
    <row r="97" spans="1:14" hidden="1" x14ac:dyDescent="0.35">
      <c r="A97" s="3" t="s">
        <v>330</v>
      </c>
      <c r="B97" s="3" t="str">
        <f t="shared" si="2"/>
        <v>Country Data</v>
      </c>
      <c r="C97" s="4" t="s">
        <v>177</v>
      </c>
      <c r="F97" s="3"/>
      <c r="G97" s="3"/>
      <c r="J97" s="3"/>
      <c r="K97" s="3"/>
      <c r="L97" s="3" t="s">
        <v>6</v>
      </c>
      <c r="M97" s="3" t="s">
        <v>178</v>
      </c>
      <c r="N97" s="3" t="s">
        <v>168</v>
      </c>
    </row>
    <row r="98" spans="1:14" hidden="1" x14ac:dyDescent="0.35">
      <c r="A98" s="3" t="s">
        <v>331</v>
      </c>
      <c r="B98" s="3" t="str">
        <f t="shared" ref="B98:B101" si="3">_xlfn.TEXTBEFORE(_xlfn.TEXTAFTER(A98,"[",-1),"]")</f>
        <v>Country Data</v>
      </c>
      <c r="C98" s="4" t="s">
        <v>179</v>
      </c>
      <c r="F98" s="3"/>
      <c r="G98" s="3"/>
      <c r="J98" s="3"/>
      <c r="K98" s="3"/>
      <c r="L98" s="3" t="s">
        <v>6</v>
      </c>
      <c r="M98" s="3" t="s">
        <v>180</v>
      </c>
      <c r="N98" s="3" t="s">
        <v>181</v>
      </c>
    </row>
    <row r="99" spans="1:14" hidden="1" x14ac:dyDescent="0.35">
      <c r="A99" s="3" t="s">
        <v>332</v>
      </c>
      <c r="B99" s="3" t="str">
        <f t="shared" si="3"/>
        <v>Country Data</v>
      </c>
      <c r="C99" s="4" t="s">
        <v>182</v>
      </c>
      <c r="F99" s="3"/>
      <c r="G99" s="3"/>
      <c r="J99" s="3"/>
      <c r="K99" s="3"/>
      <c r="L99" s="3" t="s">
        <v>6</v>
      </c>
      <c r="M99" s="3" t="s">
        <v>183</v>
      </c>
      <c r="N99" s="3" t="s">
        <v>184</v>
      </c>
    </row>
    <row r="100" spans="1:14" hidden="1" x14ac:dyDescent="0.35">
      <c r="A100" s="3" t="s">
        <v>333</v>
      </c>
      <c r="B100" s="3" t="str">
        <f t="shared" si="3"/>
        <v>Country Data</v>
      </c>
      <c r="C100" s="4" t="s">
        <v>185</v>
      </c>
      <c r="F100" s="3"/>
      <c r="G100" s="3"/>
      <c r="J100" s="3"/>
      <c r="K100" s="3"/>
      <c r="L100" s="3" t="s">
        <v>6</v>
      </c>
      <c r="M100" s="3" t="s">
        <v>186</v>
      </c>
      <c r="N100" s="3" t="s">
        <v>181</v>
      </c>
    </row>
    <row r="101" spans="1:14" hidden="1" x14ac:dyDescent="0.35">
      <c r="B101" s="4" t="e">
        <f t="shared" si="3"/>
        <v>#VALUE!</v>
      </c>
      <c r="C101" s="4" t="s">
        <v>187</v>
      </c>
      <c r="F101" s="3"/>
      <c r="G101" s="3"/>
      <c r="J101" s="3"/>
      <c r="K101" s="3"/>
      <c r="L101" s="3" t="s">
        <v>6</v>
      </c>
      <c r="M101" s="3" t="s">
        <v>188</v>
      </c>
      <c r="N101" s="3" t="s">
        <v>181</v>
      </c>
    </row>
  </sheetData>
  <conditionalFormatting sqref="F1:G1048576 I1:I1048576">
    <cfRule type="containsText" dxfId="1" priority="1" operator="containsText" text="No">
      <formula>NOT(ISERROR(SEARCH("No",F1)))</formula>
    </cfRule>
    <cfRule type="containsText" dxfId="0" priority="2" operator="containsText" text="Yes">
      <formula>NOT(ISERROR(SEARCH("Yes",F1)))</formula>
    </cfRule>
  </conditionalFormatting>
  <pageMargins left="0.7" right="0.7" top="0.75" bottom="0.75" header="0.3" footer="0.3"/>
  <pageSetup orientation="portrait" r:id="rId1"/>
  <tableParts count="1">
    <tablePart r:id="rId2"/>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 Parks</cp:lastModifiedBy>
  <dcterms:modified xsi:type="dcterms:W3CDTF">2026-06-22T14:25:42Z</dcterms:modified>
</cp:coreProperties>
</file>