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docs.live.net/831750913a0e3f96/UN/Cidy/cidy/documentation/"/>
    </mc:Choice>
  </mc:AlternateContent>
  <xr:revisionPtr revIDLastSave="500" documentId="13_ncr:1_{2B301336-FE44-41E3-9BB8-269871358495}" xr6:coauthVersionLast="47" xr6:coauthVersionMax="47" xr10:uidLastSave="{D6D28624-05C6-491C-B96C-EBDBB98883F8}"/>
  <bookViews>
    <workbookView xWindow="315" yWindow="187" windowWidth="21083" windowHeight="12031" activeTab="1" xr2:uid="{00000000-000D-0000-FFFF-FFFF00000000}"/>
  </bookViews>
  <sheets>
    <sheet name="Test Cases" sheetId="1" r:id="rId1"/>
    <sheet name="Broad-Narrow DA (File Upload)" sheetId="4" r:id="rId2"/>
    <sheet name="Broad Only DA (SharePoint)" sheetId="2" r:id="rId3"/>
    <sheet name="Broad Only DA (File Upload)"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8" i="4"/>
  <c r="B7" i="4"/>
  <c r="B6" i="4"/>
  <c r="B5" i="4"/>
  <c r="B4" i="4"/>
  <c r="B3" i="4"/>
  <c r="B2" i="4"/>
  <c r="B10" i="3"/>
  <c r="B9" i="3"/>
  <c r="B8" i="3"/>
  <c r="B7" i="3"/>
  <c r="B6" i="3"/>
  <c r="B5" i="3"/>
  <c r="B4" i="3"/>
  <c r="B3" i="3"/>
  <c r="B2" i="3"/>
  <c r="B10" i="2"/>
  <c r="B9" i="2"/>
  <c r="B8" i="2"/>
  <c r="B7" i="2"/>
  <c r="B6" i="2"/>
  <c r="B5" i="2"/>
  <c r="B4" i="2"/>
  <c r="B3" i="2"/>
  <c r="B2"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alcChain>
</file>

<file path=xl/sharedStrings.xml><?xml version="1.0" encoding="utf-8"?>
<sst xmlns="http://schemas.openxmlformats.org/spreadsheetml/2006/main" count="1049" uniqueCount="388">
  <si>
    <t>Scenario</t>
  </si>
  <si>
    <t>Test Question</t>
  </si>
  <si>
    <t>Clarification</t>
  </si>
  <si>
    <t>Expected Behavior</t>
  </si>
  <si>
    <t>Date Created</t>
  </si>
  <si>
    <t>What is required in a DA concept note?</t>
  </si>
  <si>
    <t/>
  </si>
  <si>
    <t>Intent Classifier sets knowledge_domain=da, funding_stream=DA, topic_area=project_planning_design, requires_clarification=No. Intent Clarifier bypasses. Intent Router routes to Formulate Response DA.</t>
  </si>
  <si>
    <t>For DA, how do I prepare a project document?</t>
  </si>
  <si>
    <t>Routes directly to Formulate Response DA with topic_area=project_planning_design.</t>
  </si>
  <si>
    <t>What are the DA requirements for project monitoring and reporting?</t>
  </si>
  <si>
    <t>Routes directly to Formulate Response DA with topic_area=monitoring_reporting.</t>
  </si>
  <si>
    <t>Under the Development Account, are travel costs eligible?</t>
  </si>
  <si>
    <t>Routes directly to Formulate Response DA with topic_area=budget_finance or eligibility_budget if available.</t>
  </si>
  <si>
    <t>How do I design a DA terminal evaluation?</t>
  </si>
  <si>
    <t>Routes directly to Formulate Response DA with topic_area=evaluation_design. This is guidance on designing an evaluation, not actual evaluation evidence.</t>
  </si>
  <si>
    <t>What is the DA evaluation report template?</t>
  </si>
  <si>
    <t>Routes to Formulate Response DA with topic_area=evaluation_design or templates.</t>
  </si>
  <si>
    <t>How do I start a new DA project?</t>
  </si>
  <si>
    <t>Routes to Formulate Response DA. Topic may be general or project_planning_design.</t>
  </si>
  <si>
    <t>Which DA tranche guidance should I use for a new project?</t>
  </si>
  <si>
    <t>Routes to Formulate Response DA and should prefer the latest tranche guidance.</t>
  </si>
  <si>
    <t>Is there a DA checklist for reviewing concept notes?</t>
  </si>
  <si>
    <t>Routes to Formulate Response DA with topic_area=project_planning_design or templates.</t>
  </si>
  <si>
    <t>What do project evaluations say about sustainability?</t>
  </si>
  <si>
    <t>Routes directly to Programme Development with topic_area=projects_evaluations. This is actual evaluation evidence, not evaluation design guidance.</t>
  </si>
  <si>
    <t>Summarize recommendations from project evaluations related to stakeholder engagement.</t>
  </si>
  <si>
    <t>Routes to Programme Development with topic_area=projects_evaluations.</t>
  </si>
  <si>
    <t>What lessons learned are available from past capacity development projects?</t>
  </si>
  <si>
    <t>What have evaluations said about DA projects?</t>
  </si>
  <si>
    <t>Routes to Programme Development with topic_area=projects_evaluations, using DA as context if available. It should not route to DA evaluation design guidance.</t>
  </si>
  <si>
    <t>Are there recurring findings from past project evaluations?</t>
  </si>
  <si>
    <t>What do evaluation reports say about project design weaknesses?</t>
  </si>
  <si>
    <t>What have previous evaluations found about partnerships?</t>
  </si>
  <si>
    <t>What do evaluations recommend about sustainability?</t>
  </si>
  <si>
    <t>What is DESA's capacity development strategy?</t>
  </si>
  <si>
    <t>Routes to Formulate Response Programme Development with topic_area=cd_strategy.</t>
  </si>
  <si>
    <t>What has the Steering Committee discussed about programme development?</t>
  </si>
  <si>
    <t>Routes to Programme Development with topic_area=steering_committee.</t>
  </si>
  <si>
    <t>What are the TAG meeting materials about?</t>
  </si>
  <si>
    <t>Routes to Programme Development with topic_area=tag_meetings.</t>
  </si>
  <si>
    <t>What guidance exists on programme development in Cidy?</t>
  </si>
  <si>
    <t>Routes to Programme Development with topic_area=general.</t>
  </si>
  <si>
    <t>What instructions apply to the 2025 annual progress report template?</t>
  </si>
  <si>
    <t>Routes to Programme Development with topic_area=guidelines_templates.</t>
  </si>
  <si>
    <t>What should be included in the final report template for a capacity development project?</t>
  </si>
  <si>
    <t>What guidance is available for preparing a project document, including theory of change, risks, workplan, and budget justification?</t>
  </si>
  <si>
    <t>When should DESA use an implementing partner agreement instead of procurement?</t>
  </si>
  <si>
    <t>Routes to Programme Development with topic_area=implementing_partners_grants.</t>
  </si>
  <si>
    <t>What due diligence is required before approving a grant to an implementing partner?</t>
  </si>
  <si>
    <t>Where can I find the IPGC decision template and partner evaluation template for grants?</t>
  </si>
  <si>
    <t>What are the RPTC budget and finance requirements?</t>
  </si>
  <si>
    <t>Routes to Formulate Response RPTC with topic_area=rptc_guidance_templates.</t>
  </si>
  <si>
    <t>What are the RPTC governance arrangements?</t>
  </si>
  <si>
    <t>What are RPTC roles and responsibilities?</t>
  </si>
  <si>
    <t>What programme design standards apply to RPTC?</t>
  </si>
  <si>
    <t>What are the RPTC evaluation criteria?</t>
  </si>
  <si>
    <t>Where can I find guidance on RPTC reports?</t>
  </si>
  <si>
    <t>What does the UNPDF guidance say about reporting?</t>
  </si>
  <si>
    <t>Routes to Formulate Response PDF or the temporary not-yet-developed PDF message.</t>
  </si>
  <si>
    <t>How does Cidy work?</t>
  </si>
  <si>
    <t>Routes to Formulate Response Cidy About with topic_area=about_cidy. No clarification should be required.</t>
  </si>
  <si>
    <t>What knowledge sources does Cidy currently use?</t>
  </si>
  <si>
    <t>Routes to Formulate Response Cidy About with topic_area=about_cidy.</t>
  </si>
  <si>
    <t>Who maintains Cidy's knowledge?</t>
  </si>
  <si>
    <t>How do I write an evaluation report?</t>
  </si>
  <si>
    <t>Development Account (DA)</t>
  </si>
  <si>
    <t>Classifier asks fund clarification. Clarifier maps Development Account (DA) to knowledge_domain=da, funding_stream=DA, topic_area=evaluation_design, intentStatus=ready_to_route. Router routes to Formulate Response DA.</t>
  </si>
  <si>
    <t>What are the reporting requirements?</t>
  </si>
  <si>
    <t>RPTC</t>
  </si>
  <si>
    <t>Classifier asks fund clarification. Clarifier maps to knowledge_domain=rptc, funding_stream=RPTC. Router routes to RPTC or temporary not-yet-developed RPTC message.</t>
  </si>
  <si>
    <t>Which reporting template should I use?</t>
  </si>
  <si>
    <t>UNPDF / PDF</t>
  </si>
  <si>
    <t>Classifier asks fund or artifact clarification. After UNPDF/PDF selection, Clarifier maps to knowledge_domain=pdf, funding_stream=PDF. Router routes to PDF or temporary not-yet-developed message.</t>
  </si>
  <si>
    <t>Are travel costs eligible?</t>
  </si>
  <si>
    <t>Not sure</t>
  </si>
  <si>
    <t>Classifier asks fund clarification. Clarifier maps Not sure to general_cd or programme_development depending configured default. Router should avoid unsafe fund-specific answer and likely route to User Feedback or general guidance.</t>
  </si>
  <si>
    <t>I need help with a project. Where do I start?</t>
  </si>
  <si>
    <t>Classifier asks domain clarification. Clarifier maps to knowledge_domain=da, funding_stream=DA, topic_area=general or project_planning_design. Router routes to Formulate Response DA.</t>
  </si>
  <si>
    <t>Programme Development</t>
  </si>
  <si>
    <t>Clarifier maps to knowledge_domain=programme_development, funding_stream=UNCLEAR. Router routes to Programme Development.</t>
  </si>
  <si>
    <t>I need help understanding project performance. Where should I look?</t>
  </si>
  <si>
    <t>Project Evaluations / Lessons Learned</t>
  </si>
  <si>
    <t>Clarifier maps to knowledge_domain=programme_development, topic_area=projects_evaluations and routes to Programme Development.</t>
  </si>
  <si>
    <t>I need help. What is this tool?</t>
  </si>
  <si>
    <t>About Cidy</t>
  </si>
  <si>
    <t>Clarifier maps to knowledge_domain=about_cidy. Router routes to Formulate Response Cidy About.</t>
  </si>
  <si>
    <t>Can you help me with a project report?</t>
  </si>
  <si>
    <t>Clarifier maps to knowledge_domain=rptc, funding_stream=RPTC. Router routes to RPTC.</t>
  </si>
  <si>
    <t>Can you help me with a project?</t>
  </si>
  <si>
    <t>DA</t>
  </si>
  <si>
    <t>Typed answer DA should normalize to knowledge_domain=da and funding_stream=DA. Router routes to DA.</t>
  </si>
  <si>
    <t>Development Account</t>
  </si>
  <si>
    <t>Typed answer should normalize to DA. Router routes to Formulate Response DA.</t>
  </si>
  <si>
    <t>What guidance applies to this project?</t>
  </si>
  <si>
    <t>UNPDF</t>
  </si>
  <si>
    <t>Typed answer should normalize to knowledge_domain=pdf, funding_stream=PDF.</t>
  </si>
  <si>
    <t>Where is the template?</t>
  </si>
  <si>
    <t>Concept note</t>
  </si>
  <si>
    <t>Classifier asks artifact clarification. Clarifier maps topic_area=project_planning_design. If funding stream remains unclear, it may ask a second fund clarification or route to Programme Development/general depending configuration.</t>
  </si>
  <si>
    <t>How do I fill out the document?</t>
  </si>
  <si>
    <t>Evaluation report</t>
  </si>
  <si>
    <t>Clarifier maps topic_area=evaluation_design. If fund is unclear and fund-specific guidance is needed, it asks second clarification; otherwise routes based on current domain.</t>
  </si>
  <si>
    <t>Can you help me write the report?</t>
  </si>
  <si>
    <t>Progress report</t>
  </si>
  <si>
    <t>Clarifier maps topic_area=monitoring_reporting. If fund is unclear, it may ask fund clarification before routing.</t>
  </si>
  <si>
    <t>Which form should I use after an evaluation?</t>
  </si>
  <si>
    <t>Management response</t>
  </si>
  <si>
    <t>Clarifier maps topic_area=evaluation_design. Route depends on clarified/current domain, usually DA if DA is selected later.</t>
  </si>
  <si>
    <t>Which template should I use?</t>
  </si>
  <si>
    <t>Attempt 1: something invalid. Attempt 2: Development Account (DA).</t>
  </si>
  <si>
    <t>Clarifier increments attempts, reprompts once, then maps DA correctly and routes to Formulate Response DA before max attempts is exceeded.</t>
  </si>
  <si>
    <t>Attempt 1: random text. Attempt 2: still random text.</t>
  </si>
  <si>
    <t>Clarifier sets intentStatus=dead_end and requiresClarification=No. Router routes to User Feedback.</t>
  </si>
  <si>
    <t>Where do I start?</t>
  </si>
  <si>
    <t>Classifier should not route directly. It should set requires_clarification=Yes, clarification_type=domain.</t>
  </si>
  <si>
    <t>I need a template.</t>
  </si>
  <si>
    <t>Classifier should ask artifact or fund clarification, not search knowledge directly.</t>
  </si>
  <si>
    <t>Classifier should ask artifact and/or fund clarification. It should not route until enough information is available.</t>
  </si>
  <si>
    <t>What guidance is available?</t>
  </si>
  <si>
    <t>Classifier should ask domain clarification because the domain is unclear.</t>
  </si>
  <si>
    <t>Can Cidy help me with my project?</t>
  </si>
  <si>
    <t>Classifier should ask domain clarification or route to About Cidy depending model judgment; should not fabricate a specific fund.</t>
  </si>
  <si>
    <t>What is the weather in New York today?</t>
  </si>
  <si>
    <t>Classifier sets knowledge_domain=out_of_scope, requires_clarification=No. Router sends controlled scope message and routes to User Feedback.</t>
  </si>
  <si>
    <t>Who won the last World Cup?</t>
  </si>
  <si>
    <t>Routes to User Feedback as out_of_scope. No clarification should be asked.</t>
  </si>
  <si>
    <t>Write me a poem about cats.</t>
  </si>
  <si>
    <t>Routes to User Feedback as out_of_scope. No knowledge search.</t>
  </si>
  <si>
    <t>How do I fix my laptop screen?</t>
  </si>
  <si>
    <t>Routes to User Feedback as out_of_scope.</t>
  </si>
  <si>
    <t>What stock should I buy this week?</t>
  </si>
  <si>
    <t>What information is required in an RPTC activity proposal template?</t>
  </si>
  <si>
    <t>2026-05-26</t>
  </si>
  <si>
    <t>What are the common reporting standards and minimum data points for RPTC activities?</t>
  </si>
  <si>
    <t>What guidance applies to Inter-Regional Adviser recruitment, renewal, reporting lines, and administration?</t>
  </si>
  <si>
    <t>What should be captured in an RPTC activity report template after an activity?</t>
  </si>
  <si>
    <t>How are RPTC activities planned, approved, revised, and reported after completion?</t>
  </si>
  <si>
    <t>What were the main achievements of the Regular Programme of Technical Cooperation in 2024?</t>
  </si>
  <si>
    <t>Routes to Formulate Response RPTC with topic_area=rptc_progress_reports.</t>
  </si>
  <si>
    <t>How many countries, requests, interventions, and people were supported through RPTC in 2024?</t>
  </si>
  <si>
    <t>Which UN implementing entities delivered RPTC activities, and how did their results differ?</t>
  </si>
  <si>
    <t>How did RPTC support least developed countries, landlocked developing countries, and small island developing States?</t>
  </si>
  <si>
    <t>What challenges and recommendations does the RPTC progress report identify for strengthening future years?</t>
  </si>
  <si>
    <t>When should DESA inform the RC or RCO about a planned country mission?</t>
  </si>
  <si>
    <t>Routes to Programme Development with topic_area=resident_coordinator.</t>
  </si>
  <si>
    <t>2026-05-27</t>
  </si>
  <si>
    <t>How should DESA align country-level support with the CCA and UNSDCF processes?</t>
  </si>
  <si>
    <t>When can DESA become a UNCT member or UNSDCF signatory?</t>
  </si>
  <si>
    <t>What are DESA's main action areas for 2023?</t>
  </si>
  <si>
    <t>Routes to Programme Development with topic_area=cd_strategy.</t>
  </si>
  <si>
    <t>What are the five service lines or areas of work in DESA's capacity development strategy?</t>
  </si>
  <si>
    <t>How does the knowledge hub prioritize requests?</t>
  </si>
  <si>
    <t>Classifier may ask domain clarification for broad Cidy-related knowledge hub wording. Clarifier maps Programme Development and routes to Programme Development with topic_area=cd_strategy.</t>
  </si>
  <si>
    <t>What is Cidy and what problem is it intended to solve?</t>
  </si>
  <si>
    <t>Intent Classifier sets knowledge_domain=about_cidy, funding_stream=UNCLEAR, topic_area=about_cidy, requires_clarification=No. Intent Router routes to Formulate Response Cidy About.</t>
  </si>
  <si>
    <t>How does Cidy differ from a general-purpose AI chatbot?</t>
  </si>
  <si>
    <t>Routes directly to Formulate Response Cidy About with topic_area=about_cidy.</t>
  </si>
  <si>
    <t>Which topics and knowledge areas does Cidy currently cover?</t>
  </si>
  <si>
    <t>What kinds of DA, RPTC, Programme Development, and general CDPMO questions can users ask Cidy?</t>
  </si>
  <si>
    <t>What are examples of good user questions for Cidy?</t>
  </si>
  <si>
    <t>How does Cidy classify a question and route it to the right knowledge source?</t>
  </si>
  <si>
    <t>What happens when Cidy is uncertain or the answer has low confidence?</t>
  </si>
  <si>
    <t>What are the main components of Cidy's Copilot Studio architecture?</t>
  </si>
  <si>
    <t>Hi</t>
  </si>
  <si>
    <t>User Inquiry greeting classifier sets isGreeting=true and routes to Greeting. Greeting sends the Cidy scope message, clears Global.userQuestion and Global.awaitingNewQuestion, then returns to User Inquiry for a fresh substantive question. It should not route the greeting to Intent.</t>
  </si>
  <si>
    <t>2026-05-28</t>
  </si>
  <si>
    <t>Bonjour</t>
  </si>
  <si>
    <t>Good morning, how do I design a DA concept note?</t>
  </si>
  <si>
    <t>User Inquiry greeting classifier sets isGreeting=false because the input includes a substantive question. The input continues to Intent and routes to Formulate Response DA with funding_stream=DA and topic_area=project_planning_design.</t>
  </si>
  <si>
    <t>exit Cidy flow</t>
  </si>
  <si>
    <t>Exit Cidy Flow switches Global.cidyMode to open, sends the outside structured Cidy flow message, and continues future user messages through open conversation mode without routing the command to Intent.</t>
  </si>
  <si>
    <t>2026-05-31</t>
  </si>
  <si>
    <t>exit Cindy flow</t>
  </si>
  <si>
    <t>Exit Cidy Flow recognizes the Cindy typo, switches Global.cidyMode to open, sends the outside structured Cidy flow message, and does not route the command as an About Cidy knowledge question.</t>
  </si>
  <si>
    <t>Back to Cidy flow</t>
  </si>
  <si>
    <t>Return to Cidy topic cancels other topics, clears active Cidy state, asks for a fresh substantive question, stores it as Global.userQuestion, and routes that captured question to Intent_c8W.</t>
  </si>
  <si>
    <t>Which projects are currently active in Kenya?</t>
  </si>
  <si>
    <t>Routes directly to Formulate Response Programme Development with knowledge_domain=programme_development, funding_stream=UNCLEAR, topic_area=country_data, requires_clarification=No. Response uses the Country Data folder for active projects by country.</t>
  </si>
  <si>
    <t>2026-06-02</t>
  </si>
  <si>
    <t>list all work in argentina</t>
  </si>
  <si>
    <t>Routes directly to Formulate Response Programme Development with knowledge_domain=programme_development, funding_stream=UNCLEAR, topic_area=country_data, requires_clarification=No. Broad country work wording should use Country Data, not project evaluations, unless the user explicitly asks for evaluations.</t>
  </si>
  <si>
    <t>2026-06-08</t>
  </si>
  <si>
    <t>I'd like to see 2026 proposals.</t>
  </si>
  <si>
    <t>Routes directly to Formulate Response Programme Development with knowledge_domain=programme_development, funding_stream=UNCLEAR, topic_area=country_data, requires_clarification=No. Response uses the Country Data folder for proposal-year filtering.</t>
  </si>
  <si>
    <t>How many activities in 2025 targeted LDCs?</t>
  </si>
  <si>
    <t>Routes directly to Formulate Response Programme Development with knowledge_domain=programme_development, funding_stream=UNCLEAR, topic_area=country_data, requires_clarification=No. Response uses the Country Data folder for activity counts by year and LDC target group.</t>
  </si>
  <si>
    <t>Prod Answer</t>
  </si>
  <si>
    <t>Test Date</t>
  </si>
  <si>
    <t>AnswerQuality</t>
  </si>
  <si>
    <t>Yes</t>
  </si>
  <si>
    <t>Pass</t>
  </si>
  <si>
    <t>Perfomance</t>
  </si>
  <si>
    <t>Answer: I was not able to find information in my knowledge sources that could answer this question.
Sources: No sources found.
Confidence: Low</t>
  </si>
  <si>
    <t>No</t>
  </si>
  <si>
    <t>CorrectSources</t>
  </si>
  <si>
    <t>Cidy is designed to support DESA capacity-development knowledge, including DA, RPTC, UNPDF/PDF, Programme Development, Project Evaluation evidence, and Cidy-related guidance. This question appears outside that scope.</t>
  </si>
  <si>
    <t>General Notes</t>
  </si>
  <si>
    <t>I am sorry, I was not able to find a confident answer to your question in my knowledge sources. I am still under development and new knowledge is coming in every week. See ​Cidy Knowledge Status​ for more information.
Sent at June 16 at 4:53 PM
Bot said: I am sorry, I was not able to find a confident answer to your question in my knowledge sources. I am still under development and new knowledge is coming in every week. See ​Cidy Knowledge Status​ for more information. One or more links in the message.
Bot said:
Answer: I was not able to find information in my knowledge sources that could answer this question.
Sources: No sources found.
Confidence: Low</t>
  </si>
  <si>
    <t>Message about checking status shows up before the "answer"; Don't even see formulate response program dev in copilot studio but do in repo; no timer</t>
  </si>
  <si>
    <t>n/a</t>
  </si>
  <si>
    <t>I am sorry, I was not able to find a confident answer to your question in my knowledge sources. I am still under development and new knowledge is coming in every week. See ​Cidy Knowledge Status​ for more information.
Sent at June 16 at 5:11 PM
Bot said: I am sorry, I was not able to find a confident answer to your question in my knowledge sources. I am still under development and new knowledge is coming in every week. See ​Cidy Knowledge Status​ for more information. One or more links in the message.
Bot said:
Answer: I was not able to find information in my knowledge sources that could answer this question.
Sources: No sources found.
Confidence: Low</t>
  </si>
  <si>
    <t>No timer, no formulate pd; naming convention is different, fixed timer</t>
  </si>
  <si>
    <t>Same</t>
  </si>
  <si>
    <t>Same as above</t>
  </si>
  <si>
    <t>Answer: Evaluation reports and lessons learned sections in project documentation highlight several common weaknesses in project design, based on findings from past evaluations:
Insufficient problem analysis: Projects sometimes fail to clearly define the main problem and its underlying causes, leading to objectives that are too broad or not well-targeted. This can result in interventions that do not address the most critical issues or the needs of the most vulnerable groups.
Lack of specificity in objectives and outcomes: Objectives and outcomes may be vaguely formulated, making it difficult to measure progress or success. Clear, specific, and measurable objectives are essential for effective monitoring and evaluation.
Weak logical framework: The causal links between activities, outputs, outcomes, and objectives may not be well-articulated. This can lead to gaps in the results chain, where outputs do not sufficiently contribute to intended outcomes.
Inadequate stakeholder analysis and engagement: Projects may overlook the importance of identifying and involving all relevant stakeholders, including those most affected by the problem. This can result in limited buy-in, reduced effectiveness, and sustainability challenges.
Limited integration of cross-cutting issues: Gender, disability, and social inclusion considerations are sometimes insufficiently addressed in project design, which can undermine the project's relevance and impact for marginalized groups.
Unrealistic targets and indicators: Targets may be set without a clear baseline or may not be achievable within the project timeframe and resources. Indicators may lack specificity or not align with the intended outcomes, making it hard to track progress.
Insufficient risk analysis and mitigation planning: Projects may not adequately identify potential risks or develop robust mitigation strategies, leaving them vulnerable to unforeseen challenges.
Lessons from previous projects not incorporated: There is often a lack of systematic use of findings and recommendations from past evaluations to inform new project designs, leading to repeated mistakes or missed opportunities for improvement.
These weaknesses are typically identified in the "lessons learned" sections of project documents and are used to inform improvements in future project design, results frameworks, and cross-cutting approaches. Addressing these issues is crucial for enhancing project effectiveness, sustainability, and impact.
Sources:
​generic_project_document_guidelines_final.docx​
project_final_report_0.docx
Confidence: High</t>
  </si>
  <si>
    <t>Keeps saying Reponse time -1s?</t>
  </si>
  <si>
    <t>1s</t>
  </si>
  <si>
    <t>Same as other no-answers</t>
  </si>
  <si>
    <t>Will just refer to this response as "same" moving forward; timer still an issue</t>
  </si>
  <si>
    <t>Checked "project evaluations" knowledge folder</t>
  </si>
  <si>
    <t>Seems like correct routing?</t>
  </si>
  <si>
    <t>Goes to about cidy, not form prog dev</t>
  </si>
  <si>
    <t>Checked knowledge folder, not empty; seems like most prog dev questions can't be found and show "-1s" response times?</t>
  </si>
  <si>
    <t>Answer: A final report template for a capacity development project should include the following key sections:
Key Project Features
Project title
Project code
Lead implementing entity
Start and end dates (original and actual)
List of beneficiary countries
Implementing partners (UN system and other partners, excluding beneficiary governments)
Narrative of Results
Overview of results (max. 2 pages)
Success story and photos (max. 300 words)
Detailed Review of Achievements and Implementation
Table reviewing performance indicators: expected accomplishments, baseline (T0), actual measure at project end (T1), and comments on progress
Table reviewing activities: list of activities implemented, comments on variations from project design
Table of deliverables: categories (e.g., workshops, training events, policies, studies, reports, toolkits), and their numbers at national, regional, and global/interregional levels
Challenges Encountered and Actions Taken
Table describing challenges faced and actions taken to address them
Good Practices, Innovative Approaches, and Key Lessons Learned
Description of effective practices and lessons for future programming
Sustainability
Explanation of how achievements are likely to be sustained beyond project completion
Replication of Project Activities and Multiplier Effects
Information on replication or plans for replication in other countries or contexts
Supplementary Funding
Table of financial leveraging: source/donor, purpose, year, amount raised (cash and in-kind), and description
Additional Information
Any other relevant information (e.g., media coverage, publications, links)
Financial Information
Table summarizing budget/allotment, revisions, explanations, and total expenditure by category (e.g., staff costs, consultants, travel, contractual services, operating expenses, supplies, equipment, workshops/study tours, total)
This structure ensures comprehensive reporting on project implementation, results, challenges, sustainability, and financials, supporting accountability and institutional learning for future projects.
Sources:
​project_final_report_0.docx​
​generic_project_document_guidelines_final.docx​
Confidence: High</t>
  </si>
  <si>
    <t xml:space="preserve">This one is able to be found </t>
  </si>
  <si>
    <t>192s</t>
  </si>
  <si>
    <t>Answer: The latest available general guidance for preparing a project document for UN Development Account-style projects includes the following key sections:
Theory of Change
Provide a narrative explaining how the project’s outputs and outcomes will lead to the desired change, identifying the main assumptions behind these causal links.
Use “if, then, because” statements to clarify the logic (e.g., “If capacity is strengthened, then outcomes will improve, because stakeholders will have the necessary skills.”).
Address how the project will promote social inclusion, gender equality, and address the needs of marginalized groups.
Clearly state the evidence or rationale for selecting specific outputs and how they address root causes of the problem.
Identify and review assumptions, and adjust outputs/outcomes if faulty assumptions are found.
Risk Assessment
Analyze possible risks that may affect project success, including external factors (e.g., political instability).
For each risk, specify corresponding mitigation actions or corrective measures.
Present risks and mitigation actions in a table format for clarity.
Workplan
Develop a result-based workplan that breaks down activities, outputs, outcomes, and timelines.
For each output, specify the activities, responsible parties, expected results, and delivery schedule (by year and quarter).
Ensure consistency between the narrative, workplan, and budget details.
Budget Justification
Provide a detailed justification for each budget class, linking costs to specific project outputs.
Disaggregate costs and work months by output where possible.
Budget classes typically include: Staff and Other Personnel Costs (FT30_CLASS_010), Supplies, Commodities, and Materials (FT30_CLASS_130), Equipment, Vehicles, and Furniture (FT30_CLASS_135), Contractual Services (FT30_CLASS_120), Travel (FT30_CLASS_160), Transfers and Grants to Counterparts (FT30_CLASS_140), General Operating and Other Direct Costs (FT30_CLASS_125), and Indirect Support Costs (FT30_CLASS_155).
Include a summary table of planned annual expenditures and cumulative financial implementation rates.
This guidance is applicable to standard project document preparation and aligns with the most recent templates and instructions for UN capacity development projects.
Sources:
​generic_project_document_guidelines_final.docx​
Confidence: High</t>
  </si>
  <si>
    <t>********Response time says 898 seconds, is it carrying over from the question before?</t>
  </si>
  <si>
    <t>Has to be accumulating the time, now &gt; 1000s</t>
  </si>
  <si>
    <t>Answer: DESA should use an implementing partner (IP) agreement instead of procurement when the primary objective is to work jointly with another partner to achieve shared development objectives, rather than simply purchasing a product or service from the market. The key distinctions are:
Use an Implementing Partner Agreement when:
The UN is primarily interested in collaborating to implement an activity or set of activities that deliver on its programme of work.
The focus is on achieving development results in line with the UN’s objectives, and the partner may also be a beneficiary of UN capacity development support.
The UN is interested in the results and performance of a joint project and may want input or control over the process.
The UN reimburses actual costs and monitors the partner’s performance, with the right to audit the partner’s accounts.
The activity furthers the mandate and objectives of the partner, who may contribute resources (e.g., staff time, follow-up).
Use Procurement when:
The UN is obtaining a product or service for which a commercial market exists (e.g., meeting facilities, printing, professional services).
The main interest is best value for money, purchased in a transparent and competitive manner.
The vendor is responsible for delivering the product or service, and the UN does not audit the vendor’s accounts.
The UN pays for the product or service, and the vendor requires full reimbursement of all costs incurred.
Key Policy Points:
The decision does not depend solely on the type of organization (government, intergovernmental, non-governmental, not-for-profit), but on whether the UN is purchasing a market-based product/service or working jointly towards shared objectives.
For most DESA work with government and intergovernmental partners, the IP modality is expected.
Selecting the correct modality for non-governmental partners requires careful analysis.
A reference table in the guidelines further illustrates which types of activities normally fit each modality (e.g., national execution of a development project typically uses IP, while construction services use procurement).
Sources:
​desa_interim_ip_and_grants_guidelines_25_september_2018.docx​
​annexes_ipg_guidelines_25_september_2018_approved.docx​
Confidence: Very High</t>
  </si>
  <si>
    <t>something wrong</t>
  </si>
  <si>
    <t xml:space="preserve">Answer: Before approving a grant to an implementing partner, DESA requires a comprehensive due diligence process, which may be adjusted based on the funding stream and organizational policy. The key steps and requirements include:
Completion of a Due Diligence Questionnaire:
The requesting Division must complete a due diligence questionnaire for all proposed implementing partners or grantees. This covers legal status, financial management, delivery capacity, project management tools, risk of fraud, and compliance with special funding conditions.
For non-government organizations, additional questions address public interest objectives, affiliations with the private sector, reputational risks, and the rationale for partner selection after considering alternatives.
Comparative Review:
As much as possible, a comparative review of at least three organizations should be conducted to ensure open and transparent selection, unless a specific partner is requested by a donor, in which case early referral to CDO is required for due diligence.
Risk Assessment:
The Division must assess the partner’s capacity and past performance, including audits, assurance activities, and programme monitoring, especially when executing activities at the country level.
Documentation and Verification:
Legal status documents, financial statements, and evidence of sound financial management must be reviewed.
Checks against Security Council sanctions, World Bank ineligible lists, and the UN List of Suspended and Removed Vendors are required.
Assessment of Safeguards:
The partner’s capacity to prevent or mitigate risks such as sexual exploitation and abuse must be evaluated, including evidence of regular training and policies.
Conflict of Interest and Framework Agreements:
Any real or potential conflicts of interest must be disclosed.
If a framework partnership agreement exists, it should be consulted.
Funding Stream-Specific Requirements:
The due diligence process must ensure compliance with any special conditions or limitations of the funding source, such as donor-imposed requirements or restrictions on indirect costs.
Submission and Review:
The completed due diligence questionnaire and draft agreement are submitted to the Capacity Development Office (CDO) for review and coordination with the Implementing Partner and Grantee Committee (IPGC), which focuses on reputational and significant risks, and ensures the process was open and alternatives considered.
Approval:
The IPGC makes a recommendation, and the agreement is signed by the Chief, CDO, or cleared for signature by another DESA official.
This process ensures that all grants and implementing partner agreements are subject to rigorous vetting, risk assessment, and compliance with both UN and donor requirements before approval. Requirements may be further tailored based on the specific funding stream or organizational policy in place at the time of the grant.
Sources:
​desa_interim_ip_and_grants_guidelines_25_september_2018.docx​
​annexes_ipg_guidelines_25_september_2018_approved.docx​
Confidence: High
Answer: Before approving a grant to an implementing partner, DESA requires a comprehensive due diligence process, which may be adjusted based on the funding stream and organizational policy. The key steps and requirements include:
Completion of a Due Diligence Questionnaire:
The requesting Division must complete a due diligence questionnaire for all proposed implementing partners or grantees. This covers legal status, financial management, delivery capacity, project management tools, risk of fraud, and compliance with special funding conditions.
For non-government organizations, additional questions address public interest objectives, affiliations with the private sector, reputational risks, and the rationale for partner selection after considering alternatives.
Comparative Review:
As much as possible, a comparative review of at least three organizations should be conducted to ensure open and transparent selection, unless a specific partner is requested by a donor, in which case early referral to CDO is required for due diligence.
Risk Assessment:
The Division must assess the partner’s capacity and past performance, including audits, assurance activities, and programme monitoring, especially when executing activities at the country level.
Documentation and Verification:
Legal status documents, financial statements, and evidence of sound financial management must be reviewed.
Checks against Security Council sanctions, World Bank ineligible lists, and the UN List of Suspended and Removed Vendors are required.
Assessment of Safeguards:
The partner’s capacity to prevent or mitigate risks such as sexual exploitation and abuse must be evaluated, including evidence of regular training and policies.
Conflict of Interest and Framework Agreements:
Any real or potential conflicts of interest must be disclosed.
If a framework partnership agreement exists, it should be consulted.
Funding Stream-Specific Requirements:
The due diligence process must ensure compliance with any special conditions or limitations of the funding source, such as donor-imposed requirements or restrictions on indirect costs.
Submission and Review:
The completed due diligence questionnaire and draft agreement are submitted to the Capacity Development Office (CDO) for review and coordination with the Implementing Partner and Grantee Committee (IPGC), which focuses on reputational and significant risks, and ensures the process was open and alternatives considered.
Approval:
The IPGC makes a recommendation, and the agreement is signed by the Chief, CDO, or cleared for signature by another DESA official.
This process ensures that all grants and implementing partner agreements are subject to rigorous vetting, risk assessment, and compliance with both UN and donor requirements before approval. Requirements may be further tailored based on the specific funding stream or organizational policy in place at the time of the grant.
Sources:
​desa_interim_ip_and_grants_guidelines_25_september_2018.docx​
​annexes_ipg_guidelines_25_september_2018_approved.docx​
Confidence: High
Answer: Before approving a grant to an implementing partner, DESA requires a comprehensive due diligence process, which may be adjusted based on the funding stream and organizational policy. The key steps and requirements include:
Completion of a Due Diligence Questionnaire:
The requesting Division must complete a due diligence questionnaire for all proposed implementing partners or grantees. This covers legal status, financial management, delivery capacity, project management tools, risk of fraud, and compliance with special funding conditions.
For non-government organizations, additional questions address public interest objectives, affiliations with the private sector, reputational risks, and the rationale for partner selection after considering alternatives.
Comparative Review:
As much as possible, a comparative review of at least three organizations should be conducted to ensure open and transparent selection, unless a specific partner is requested by a donor, in which case early referral to CDO is required for due diligence.
Risk Assessment:
The Division must assess the partner’s capacity and past performance, including audits, assurance activities, and programme monitoring, especially when executing activities at the country level.
Documentation and Verification:
Legal status documents, financial statements, and evidence of sound financial management must be reviewed.
Checks against Security Council sanctions, World Bank ineligible lists, and the UN List of Suspended and Removed Vendors are required.
Assessment of Safeguards:
The partner’s capacity to prevent or mitigate risks such as sexual exploitation and abuse must be evaluated, including evidence of regular training and policies.
Conflict of Interest and Framework Agreements:
Any real or potential conflicts of interest must be disclosed.
If a framework partnership agreement exists, it should be consulted.
Funding Stream-Specific Requirements:
The due diligence process must ensure compliance with any special conditions or limitations of the funding source, such as donor-imposed requirements or restrictions on indirect costs.
Submission and Review:
The completed due diligence questionnaire and draft agreement are submitted to the Capacity Development Office (CDO) for review and coordination with the Implementing Partner and Grantee Committee (IPGC), which focuses on reputational and significant risks, and ensures the process was open and alternatives considered.
Approval:
The IPGC makes a recommendation, and the agreement is signed by the Chief, CDO, or cleared for signature by another DESA official.
This process ensures that all grants and implementing partner agreements are subject to rigorous vetting, risk assessment, and compliance with both UN and donor requirements before approval. Requirements may be further tailored based on the specific funding stream or organizational policy in place at the time of the grant.
Sources:
​desa_interim_ip_and_grants_guidelines_25_september_2018.docx​
​annexes_ipg_guidelines_25_september_2018_approved.docx​
Confidence: High
</t>
  </si>
  <si>
    <t>minus 1</t>
  </si>
  <si>
    <t xml:space="preserve">Answer: The official IPGC (Implementing Partner and Grantee Committee) decision template and the partner evaluation template required for grants within DESA’s implementing partners and grants procedures are provided in the annexes to the DESA Interim Guidelines on IPs and Grants (version 25 September 2018). Specifically:
The IPGC decision template is found in Annex 4. It includes fields for the date of meeting, implementing partner or grantee, amount of fund transfer, recommendation status (recommended, not recommended, or returned for additional information), committee member signatures, and a brief statement of reasons or dissenting opinions. It also includes a section for approval by the Under-Secretary-General or delegated official.
The partner evaluation template is found in Annex 5. This template is used to assess whether the implementing partner or grantee delivered the activities covered by the agreement, their effectiveness, timeliness, quality of implementation, quality of financial and substantive reports, and any concerns about possible fraud or mismanagement. It includes rating scales and space for comments, as well as staff and division director sign-off.
Both templates are part of the annexes file that accompanies the main guidelines and are referenced as required operational tools for DESA’s grants and implementing partner agreements procedures. These annexes are available in the document titled "annexes_ipg_guidelines_25_september_2018_approved.docx".
Sources:
​annexes_ipg_guidelines_25_september_2018_approved.docx​
Confidence: Very High
</t>
  </si>
  <si>
    <t>not noting moving forward until fix</t>
  </si>
  <si>
    <t>Not showing timer debug; same as before with programme dev?</t>
  </si>
  <si>
    <t>not showing</t>
  </si>
  <si>
    <t>Answer: Cidy is an AI-enabled knowledge assistant specifically designed to support UN DESA’s capacity-development work. Its core functionality is to help staff efficiently find, interpret, draft, and apply approved internal guidance throughout the capacity-development project lifecycle. Here’s how Cidy operates:
Governed Service Layer: Cidy functions as a governed service over curated CDPMO knowledge, project workflows, templates, reporting rules, escalation paths, and feedback loops.
Intent Classification: When a user asks a capacity-development question, Cidy classifies the intent of the query and only requests clarification if necessary.
Targeted Search: It searches the most relevant, approved knowledge sources to draft a grounded answer.
Confidence Assessment: Cidy assesses the confidence of its response, shares sources, and collects feedback or escalates the query to a human expert if the answer is low-confidence, incomplete, or out of scope.
Guidance Delivery: It routes questions to the correct knowledge domain (e.g., Development Account, RPTC, Programme Development, or general CDPMO guidance), explains procedures, supports project lifecycle work, and points users to the right templates and quality checks.
Institutional Memory: Cidy captures recurring questions and unresolved issues to improve the knowledge base over time.
Escalation Path: If Cidy cannot provide a satisfactory answer, it offers a path for human follow-up.
Cidy is distinct from general-purpose chatbots because it uses only curated, approved institutional knowledge, classifies and enriches user requests, aims for source-grounded answers, and is designed with governance, feedback, and human-in-the-loop support. It is not a replacement for staff judgment or formal approvals and does not function as a general internet search tool. Cidy is currently an active prototype or developing institutional service, not a fully mature production system across all domains.
Sources:
​Cidy - What It Does.docx​
Confidence: Very High</t>
  </si>
  <si>
    <t>Still missing debug timer -- old agent version?</t>
  </si>
  <si>
    <t xml:space="preserve">Answer: Cidy, the UN DESA Capacity Development Programme Management Office (CDPMO) knowledge assistant, uses a curated set of internal, approved knowledge sources specifically selected for capacity-development work. These sources are organized into knowledge domains and topic areas, each mapped to specific response files (YAMLs) that determine which knowledge folders or documents are searched. The main domains currently covered include:
Development Account (DA): Project planning/design, evaluation design, and general guidance, with mapped folders for each topic area.
Regular Programme of Technical Cooperation (RPTC): Guidance/templates and progress reports, with many topic labels mapped as aliases to these sources.
Programme Development: Includes steering committee records, TAG meetings, project evaluations, guidelines/templates, implementing partners/grants, Resident Coordinator engagement, and strategic documents. These are marked for review as the knowledge base matures.
General CDPMO: A general knowledge folder mapped for broad or unclassified questions.
Peace and Development Trust Fund / UNPDF and About Cidy: These domains are recognized but currently lack mapped knowledge folders or response files.
Cidy does not use general internet sources; it is anchored in official DESA/CDPMO materials to ensure answers are grounded in institutional guidance. When a specific topic area is not matched, fallback sources are used as safety nets, but these should not be confused with primary topic coverage. The knowledge base is actively maintained and updated, with some areas marked as requiring further validation or development as the system matures.
Sources:
​Cidy - Topics Covered.docx​
Confidence: Very High
</t>
  </si>
  <si>
    <t>Did get asked multiple choice; DEBUG - Pass 2 result: Broad DA source (Pass 1 was blank)
Query sent:
Response:</t>
  </si>
  <si>
    <t>Claude Found?</t>
  </si>
  <si>
    <t>Happy path - DA project planning [DA]</t>
  </si>
  <si>
    <t>Happy path - DA project document [DA]</t>
  </si>
  <si>
    <t>Happy path - DA monitoring and reporting [DA]</t>
  </si>
  <si>
    <t>Happy path - DA budget eligibility [DA]</t>
  </si>
  <si>
    <t>Happy path - DA evaluation design [DA]</t>
  </si>
  <si>
    <t>Happy path - DA evaluation template [DA]</t>
  </si>
  <si>
    <t>Happy path - DA general start [DA]</t>
  </si>
  <si>
    <t>Happy path - DA latest tranche [DA]</t>
  </si>
  <si>
    <t>Happy path - DA checklist [DA]</t>
  </si>
  <si>
    <t>Happy path - project evaluation evidence [Evaluation]</t>
  </si>
  <si>
    <t>Happy path - evaluation recommendations [Evaluation]</t>
  </si>
  <si>
    <t>Happy path - lessons learned [Evaluation]</t>
  </si>
  <si>
    <t>Happy path - recurring evaluation findings [Evaluation]</t>
  </si>
  <si>
    <t>Happy path - evaluation weaknesses [Evaluation]</t>
  </si>
  <si>
    <t>Happy path - partnerships in evaluations [Evaluation]</t>
  </si>
  <si>
    <t>Happy path - sustainability recommendations [Evaluation]</t>
  </si>
  <si>
    <t>Happy path - Programme Development CD Strategy [PD]</t>
  </si>
  <si>
    <t>Happy path - Programme Development Steering Committee [PD]</t>
  </si>
  <si>
    <t>Happy path - Programme Development TAG [PD]</t>
  </si>
  <si>
    <t>Happy path - Programme Development general [PD]</t>
  </si>
  <si>
    <t>Happy path - Programme Development annual progress report template [PD]</t>
  </si>
  <si>
    <t>Happy path - Programme Development final report template [PD]</t>
  </si>
  <si>
    <t>Happy path - Programme Development project document preparation [PD]</t>
  </si>
  <si>
    <t>Happy path - Programme Development implementing partner agreement [PD]</t>
  </si>
  <si>
    <t>Happy path - Programme Development grants due diligence [PD]</t>
  </si>
  <si>
    <t>Happy path - Programme Development IPGC templates [PD]</t>
  </si>
  <si>
    <t>Happy path - RPTC budget and finance [RPTC]</t>
  </si>
  <si>
    <t>Happy path - RPTC governance [RPTC]</t>
  </si>
  <si>
    <t>Happy path - RPTC roles [RPTC]</t>
  </si>
  <si>
    <t>Happy path - RPTC programme design standards [RPTC]</t>
  </si>
  <si>
    <t>Happy path - RPTC evaluation criteria [RPTC]</t>
  </si>
  <si>
    <t>Happy path - RPTC reports [RPTC]</t>
  </si>
  <si>
    <t>Happy path - PDF / UNPDF [PDF]</t>
  </si>
  <si>
    <t>Happy path - About Cidy [About Cidy]</t>
  </si>
  <si>
    <t>Happy path - About Cidy coverage [About Cidy]</t>
  </si>
  <si>
    <t>Happy path - About Cidy maintenance [About Cidy]</t>
  </si>
  <si>
    <t>Clarification path - fund to DA [DA]</t>
  </si>
  <si>
    <t>Clarification path - fund to RPTC [RPTC]</t>
  </si>
  <si>
    <t>Clarification path - fund to PDF [PDF]</t>
  </si>
  <si>
    <t>Clarification path - fund not sure [Not Sure]</t>
  </si>
  <si>
    <t>Clarification path - domain to DA [Not Sure]</t>
  </si>
  <si>
    <t>Clarification path - domain to Programme Development [Not Sure]</t>
  </si>
  <si>
    <t>Clarification path - domain to Evaluation Evidence [Not Sure]</t>
  </si>
  <si>
    <t>Clarification path - domain to About Cidy [Not Sure]</t>
  </si>
  <si>
    <t>Clarification path - domain to RPTC [Not Sure]</t>
  </si>
  <si>
    <t>Clarification path - domain typed DA [Not Sure]</t>
  </si>
  <si>
    <t>Clarification path - domain typed Development Account [Not Sure]</t>
  </si>
  <si>
    <t>Clarification path - domain typed UNPDF [Not Sure]</t>
  </si>
  <si>
    <t>Clarification path - artifact concept note [Not Sure]</t>
  </si>
  <si>
    <t>Clarification path - artifact evaluation report [Not Sure]</t>
  </si>
  <si>
    <t>Clarification path - artifact progress report [Not Sure]</t>
  </si>
  <si>
    <t>Clarification path - artifact management response [Not Sure]</t>
  </si>
  <si>
    <t>Clarification path - second attempt succeeds [Not Sure]</t>
  </si>
  <si>
    <t>Clarification path - max attempts dead end [Not Sure]</t>
  </si>
  <si>
    <t>Vague path - domain clarification [Not Sure]</t>
  </si>
  <si>
    <t>Vague path - template clarification [Not Sure]</t>
  </si>
  <si>
    <t>Vague path - report clarification [Not Sure]</t>
  </si>
  <si>
    <t>Vague path - guidance clarification [Not Sure]</t>
  </si>
  <si>
    <t>Vague path - project support clarification [Not Sure]</t>
  </si>
  <si>
    <t>Out of scope - weather [OOS]</t>
  </si>
  <si>
    <t>Out of scope - sports [OOS]</t>
  </si>
  <si>
    <t>Out of scope - poem [OOS]</t>
  </si>
  <si>
    <t>Out of scope - laptop help [OOS]</t>
  </si>
  <si>
    <t>Out of scope - stock investment [OOS]</t>
  </si>
  <si>
    <t>Happy path - RPTC activity proposal template [RPTC]</t>
  </si>
  <si>
    <t>Happy path - RPTC common reporting standards [RPTC]</t>
  </si>
  <si>
    <t>Happy path - RPTC IRA guidance [RPTC]</t>
  </si>
  <si>
    <t>Happy path - RPTC activity report template [RPTC]</t>
  </si>
  <si>
    <t>Happy path - RPTC planning and approval process [RPTC]</t>
  </si>
  <si>
    <t>Happy path - RPTC 2024 achievements [RPTC]</t>
  </si>
  <si>
    <t>Happy path - RPTC 2024 countries requests interventions [RPTC]</t>
  </si>
  <si>
    <t>Happy path - RPTC implementing entities [RPTC]</t>
  </si>
  <si>
    <t>Happy path - RPTC SIDS LDC LLDC support [RPTC]</t>
  </si>
  <si>
    <t>Happy path - RPTC future recommendations [RPTC]</t>
  </si>
  <si>
    <t>Happy path - Programme Development Resident Coordinator mission notice [RPTC]</t>
  </si>
  <si>
    <t>Happy path - Programme Development UNSDCF alignment [PD]</t>
  </si>
  <si>
    <t>Happy path - Programme Development UNCT membership [PD]</t>
  </si>
  <si>
    <t>Happy path - Programme Development strategic priorities [PD]</t>
  </si>
  <si>
    <t>Happy path - Programme Development service delivery model [PD]</t>
  </si>
  <si>
    <t>Clarification path - Programme Development strategy from broad Cidy question [Not Sure]</t>
  </si>
  <si>
    <t>Happy path - About Cidy overview [About Cidy]</t>
  </si>
  <si>
    <t>Happy path - About Cidy comparison [About Cidy]</t>
  </si>
  <si>
    <t>Happy path - About Cidy user questions [About Cidy]</t>
  </si>
  <si>
    <t>Happy path - About Cidy prompt examples [About Cidy]</t>
  </si>
  <si>
    <t>Happy path - About Cidy routing flow [About Cidy]</t>
  </si>
  <si>
    <t>Happy path - About Cidy low confidence  [About Cidy]</t>
  </si>
  <si>
    <t>Happy path - About Cidy architecture  [About Cidy]</t>
  </si>
  <si>
    <t>Greeting path - English greeting only [Greeting]</t>
  </si>
  <si>
    <t>Greeting path - Multilingual greeting only  [Greeting]</t>
  </si>
  <si>
    <t>Greeting guard - greeting plus substantive question [Greeting]</t>
  </si>
  <si>
    <t>Exit Cidy flow command - exact phrase [Exit Flow]</t>
  </si>
  <si>
    <t>Exit Cidy flow command - Cindy typo [Exit Flow]</t>
  </si>
  <si>
    <t>Return to Cidy rescue path  [Exit Flow]</t>
  </si>
  <si>
    <t>Happy path - Country Data active projects by country [Country Data]</t>
  </si>
  <si>
    <t>Regression - broad country work routes to Country Data [Country Data]</t>
  </si>
  <si>
    <t>Happy path - Country Data proposal year list [Country Data]</t>
  </si>
  <si>
    <t>Happy path - Country Data LDC activity count [Country Data]</t>
  </si>
  <si>
    <t>Topic Area</t>
  </si>
  <si>
    <t>Answer appears twice. Investigating -- sources are identical which is good</t>
  </si>
  <si>
    <t xml:space="preserve">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(to be used in the Supplementary Information of the Proposed Programme Budget)
a. Title: Compelling, positive, concise, and includes thematic area and geographical scope.
b. Implementing entities and partners: List all 10 DA implementing entities involved, starting with the lead, then joint, then collaborating entities, using the required format.
c. Relationship to the SDG targets: List up to 10 essential SDG targets in ascending order (numbers only).
d. Objective: One-sentence intended goal, referencing beneficiaries, geographical scope, and substantive focus. Avoid process descriptions or internal UN work verbs.
e. Project plan for 2027-2030.
f. Budget summary.
Additional Data Needed for the Fascicle
Data for analysis of the tranche and proposed projects, in the requested format.
Outcomes and Outputs
Outputs must be sufficient to achieve outcomes, and outcomes must contribute to the objective.
Outputs should describe specific actions, products, or reports in enough detail for external understanding.
UN System Coordination
Plans for engaging Resident Coordinator Offices (RCOs) and partnerships with other UN entities, funds, programmes, and country teams.
Budget Narrative
Figures must be in the required format (one decimal place, in thousands of USD).
All budget categories must sum to the total.
Additional Requirements
Use the separate template provided (Annex 1) for drafting.
The fascicle note should be no longer than one page.
All sections must follow the format and guidelines strictly, as these are used for official budget presentations.
A review checklist (Annex 2) is available for internal quality assurance before submission.
These requirements are based on the most recent (19th tranche) guidelines available. For drafting, always use the latest template and ensure all sections are complete and in the correct format.
Sources:
​T19 Concept Note Guidelines.docx​
​T19 Concept Note Review Checklist for DA Focal Points.docx​
Confidence: High
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(to be used in the Supplementary Information of the Proposed Programme Budget)
a. Title: Compelling, positive, concise, and includes thematic area and geographical scope.
b. Implementing entities and partners: List all 10 DA implementing entities involved, starting with the lead, then joint, then collaborating entities, using the required format.
c. Relationship to the SDG targets: List up to 10 essential SDG targets in ascending order (numbers only).
d. Objective: One-sentence intended goal, referencing beneficiaries, geographical scope, and substantive focus. Avoid process descriptions or internal UN work verbs.
e. Project plan for 2027-2030.
f. Budget summary.
Additional Data Needed for the Fascicle
Data for analysis of the tranche and proposed projects, in the requested format.
Outcomes and Outputs
Outputs must be sufficient to achieve outcomes, and outcomes must contribute to the objective.
Outputs should describe specific actions, products, or reports in enough detail for external understanding.
UN System Coordination
Plans for engaging Resident Coordinator Offices (RCOs) and partnerships with other UN entities, funds, programmes, and country teams.
Budget Narrative
Figures must be in the required format (one decimal place, in thousands of USD).
All budget categories must sum to the total.
Additional Requirements
Use the separate template provided (Annex 1) for drafting.
The fascicle note should be no longer than one page.
All sections must follow the format and guidelines strictly, as these are used for official budget presentations.
A review checklist (Annex 2) is available for internal quality assurance before submission.
These requirements are based on the most recent (19th tranche) guidelines available. For drafting, always use the latest template and ensure all sections are complete and in the correct format.
Sources:
​T19 Concept Note Guidelines.docx​
​T19 Concept Note Review Checklist for DA Focal Points.docx​
Confidence: High
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(to be used in the Supplementary Information of the Proposed Programme Budget)
a. Title: Compelling, positive, concise, and includes thematic area and geographical scope.
b. Implementing entities and partners: List all 10 DA implementing entities involved, starting with the lead, then joint, then collaborating entities, using the required format.
c. Relationship to the SDG targets: List up to 10 essential SDG targets in ascending order (numbers only).
d. Objective: One-sentence intended goal, referencing beneficiaries, geographical scope, and substantive focus. Avoid process descriptions or internal UN work verbs.
e. Project plan for 2027-2030.
f. Budget summary.
Additional Data Needed for the Fascicle
Data for analysis of the tranche and proposed projects, in the requested format.
Outcomes and Outputs
Outputs must be sufficient to achieve outcomes, and outcomes must contribute to the objective.
Outputs should describe specific actions, products, or reports in enough detail for external understanding.
UN System Coordination
Plans for engaging Resident Coordinator Offices (RCOs) and partnerships with other UN entities, funds, programmes, and country teams.
Budget Narrative
Figures must be in the required format (one decimal place, in thousands of USD).
All budget categories must sum to the total.
Additional Requirements
Use the separate template provided (Annex 1) for drafting.
The fascicle note should be no longer than one page.
All sections must follow the format and guidelines strictly, as these are used for official budget presentations.
A review checklist (Annex 2) is available for internal quality assurance before submission.
These requirements are based on the most recent (19th tranche) guidelines available. For drafting, always use the latest template and ensure all sections are complete and in the correct format.
Sources:
​T19 Concept Note Guidelines.docx​
​T19 Concept Note Review Checklist for DA Focal Points.docx​
Confidence: High
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(to be used in the Supplementary Information of the Proposed Programme Budget)
a. Title: Compelling, positive, concise, and includes thematic area and geographical scope.
b. Implementing entities and partners: List all 10 DA implementing entities involved, starting with the lead, then joint, then collaborating entities, using the required format.
c. Relationship to the SDG targets: List up to 10 essential SDG targets in ascending order (numbers only).
d. Objective: One-sentence intended goal, referencing beneficiaries, geographical scope, and substantive focus. Avoid process descriptions or internal UN work verbs.
e. Project plan for 2027-2030.
f. Budget summary.
Additional Data Needed for the Fascicle
Data for analysis of the tranche and proposed projects, in the requested format.
Outcomes and Outputs
Outputs must be sufficient to achieve outcomes, and outcomes must contribute to the objective.
Outputs should describe specific actions, products, or reports in enough detail for external understanding.
UN System Coordination
Plans for engaging Resident Coordinator Offices (RCOs) and partnerships with other UN entities, funds, programmes, and country teams.
Budget Narrative
Figures must be in the required format (one decimal place, in thousands of USD).
All budget categories must sum to the total.
Additional Requirements
Use the separate template provided (Annex 1) for drafting.
The fascicle note should be no longer than one page.
All sections must follow the format and guidelines strictly, as these are used for official budget presentations.
A review checklist (Annex 2) is available for internal quality assurance before submission.
These requirements are based on the most recent (19th tranche) guidelines available. For drafting, always use the latest template and ensure all sections are complete and in the correct format.
Sources:
​T19 Concept Note Guidelines.docx​
​T19 Concept Note Review Checklist for DA Focal Points.docx​
Confidence: High
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(to be used in the Supplementary Information of the Proposed Programme Budget)
a. Title: Compelling, positive, concise, and includes thematic area and geographical scope.
b. Implementing entities and partners: List all 10 DA implementing entities involved, starting with the lead, then joint, then collaborating entities, using the required format.
c. Relationship to the SDG targets: List up to 10 essential SDG targets in ascending order (numbers only).
d. Objective: One-sentence intended goal, referencing beneficiaries, geographical scope, and substantive focus. Avoid process descriptions or internal UN work verbs.
e. Project plan for 2027-2030.
f. Budget summary.
Additional Data Needed for the Fascicle
Data for analysis of the tranche and proposed projects, in the requested format.
Outcomes and Outputs
Outputs must be sufficient to achieve outcomes, and outcomes must contribute to the objective.
Outputs should describe specific actions, products, or reports in enough detail for external understanding.
UN System Coordination
Plans for engaging Resident Coordinator Offices (RCOs) and partnerships with other UN entities, funds, programmes, and country teams.
Budget Narrative
Figures must be in the required format (one decimal place, in thousands of USD).
All budget categories must sum to the total.
Additional Requirements
Use the separate template provided (Annex 1) for drafting.
The fascicle note should be no longer than one page.
All sections must follow the format and guidelines strictly, as these are used for official budget presentations.
A review checklist (Annex 2) is available for internal quality assurance before submission.
These requirements are based on the most recent (19th tranche) guidelines available. For drafting, always use the latest template and ensure all sections are complete and in the correct format.
Sources:
​T19 Concept Note Guidelines.docx​
​T19 Concept Note Review Checklist for DA Focal Points.docx​
Confidence: High
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(to be used in the Supplementary Information of the Proposed Programme Budget)
a. Title: Compelling, positive, concise, and includes thematic area and geographical scope.
b. Implementing entities and partners: List all 10 DA implementing entities involved, starting with the lead, then joint, then collaborating entities, using the required format.
c. Relationship to the SDG targets: List up to 10 essential SDG targets in ascending order (numbers only).
d. Objective: One-sentence intended goal, referencing beneficiaries, geographical scope, and substantive focus. Avoid process descriptions or internal UN work verbs.
e. Project plan for 2027-2030.
f. Budget summary.
Additional Data Needed for the Fascicle
Data for analysis of the tranche and proposed projects, in the requested format.
Outcomes and Outputs
Outputs must be sufficient to achieve outcomes, and outcomes must contribute to the objective.
Outputs should describe specific actions, products, or reports in enough detail for external understanding.
UN System Coordination
Plans for engaging Resident Coordinator Offices (RCOs) and partnerships with other UN entities, funds, programmes, and country teams.
Budget Narrative
Figures must be in the required format (one decimal place, in thousands of USD).
All budget categories must sum to the total.
Additional Requirements
Use the separate template provided (Annex 1) for drafting.
The fascicle note should be no longer than one page.
All sections must follow the format and guidelines strictly, as these are used for official budget presentations.
A review checklist (Annex 2) is available for internal quality assurance before submission.
These requirements are based on the most recent (19th tranche) guidelines available. For drafting, always use the latest template and ensure all sections are complete and in the correct format.
Sources:
​T19 Concept Note Guidelines.docx​
​T19 Concept Note Review Checklist for DA Focal Points.docx​
Confidence: High
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(to be used in the Supplementary Information of the Proposed Programme Budget)
a. Title: Compelling, positive, concise, and includes thematic area and geographical scope.
b. Implementing entities and partners: List all 10 DA implementing entities involved, starting with the lead, then joint, then collaborating entities, using the required format.
c. Relationship to the SDG targets: List up to 10 essential SDG targets in ascending order (numbers only).
d. Objective: One-sentence intended goal, referencing beneficiaries, geographical scope, and substantive focus. Avoid process descriptions or internal UN work verbs.
e. Project plan for 2027-2030.
f. Budget summary.
Additional Data Needed for the Fascicle
Data for analysis of the tranche and proposed projects, in the requested format.
Outcomes and Outputs
Outputs must be sufficient to achieve outcomes, and outcomes must contribute to the objective.
Outputs should describe specific actions, products, or reports in enough detail for external understanding.
UN System Coordination
Plans for engaging Resident Coordinator Offices (RCOs) and partnerships with other UN entities, funds, programmes, and country teams.
Budget Narrative
Figures must be in the required format (one decimal place, in thousands of USD).
All budget categories must sum to the total.
Additional Requirements
Use the separate template provided (Annex 1) for drafting.
The fascicle note should be no longer than one page.
All sections must follow the format and guidelines strictly, as these are used for official budget presentations.
A review checklist (Annex 2) is available for internal quality assurance before submission.
These requirements are based on the most recent (19th tranche) guidelines available. For drafting, always use the latest template and ensure all sections are complete and in the correct format.
Sources:
​T19 Concept Note Guidelines.docx​
​T19 Concept Note Review Checklist for DA Focal Points.docx​
Confidence: High
</t>
  </si>
  <si>
    <t>timer broken, investigating</t>
  </si>
  <si>
    <t>Answer appears twice, took multiple attempts.</t>
  </si>
  <si>
    <t>Yes*</t>
  </si>
  <si>
    <t>Answer: To prepare a project document for the Development Account (DA), follow these steps, referencing the most recent (19th tranche) guidance:
Use the Latest Guidelines and Templates
Always use the most recent tranche’s guidelines and templates (e.g., T19 for the 19th tranche) for project document preparation.
The “T19 Project Document Guidelines” provide detailed instructions for each section, and the “T19 Project Document Template” is used for drafting. There is also a separate Excel file (“T19 Project Document Annex”) for workplans and budget annexes.
Drafting the Project Document
Expand on the approved concept note, incorporating any feedback received.
Complete all required sections in the template, including:
Executive Summary (project code, title, implementing entities, partners, budget, target countries, SDGs, brief description)
Demand, Context, and Analysis (selection of target countries, context, country-level analysis, stakeholder analysis)
Project Strategy (define the envisaged change, theory of change narrative, results framework)
Gender Equality and Disability Inclusion
Monitoring, Reporting, and Evaluation
Mandates, Partnerships, and Coordination Agreements
Budget (using the Excel annex).
Key Requirements and Steps
Engage with monitoring and evaluation colleagues to develop the results framework and define achievement indicators.
For projects with a budget of $1 million or more, include an evaluation plan and involve relevant officers in preparation.
Conduct an entity-level quality assurance review, using the standard checklist, and consult with implementing partners and the Resident Coordinator’s Office (RCO) in each target country.
Submit the draft project document to the DA-PMT for review and revision, responding to comments as needed.
Once finalized and aligned with guidelines, the project document is eligible for fund allocation after GA approval.
Where to Find Resources
The latest guidelines, templates, and checklists are available on the DA SharePoint Site and DA website.
Only reference templates directly if the question is about their structure; otherwise, rely on the guidelines for content and process.
Sources:
​Guide to the Development Account 2025.pdf​
​T19 Project Document Guidelines.docx​
​T19 Project Document Template.docx​
​readme.docx​
Confidence: Very High</t>
  </si>
  <si>
    <t xml:space="preserve">Answer: Yes, under the Development Account, travel costs are considered eligible expenses. The budget class "Travel of Staff (115)" is specifically designated for the travel of UN system-wide staff, covering transportation costs incurred by staff members to carry out missions in support of the implementation of their mandates. This includes participation in expert groups, workshops, and providing advisory services. However, staff travel costs should not be included under "Grants and Contributions – Workshops/Study Tours (145)", and the number of staff traveling per activity should be limited, especially if consultants are also traveling for the same activity. Additionally, travel costs for consultants may be included under the "Consultants (105)" budget class, as part of their fees if relevant. It is also noted that high travel expenses are scrutinized, so travel costs should be weighed carefully and hybrid or virtual options should be considered where possible.
Sources:
​T19 Project Document Guidelines.docx​
​T18 Project Document Guidelines.docx​
​T16 Project Document Guidelines v6 final.pdf​
Confidence: High
</t>
  </si>
  <si>
    <t>Answer displays twice</t>
  </si>
  <si>
    <t xml:space="preserve">Answer: Designing a Terminal Evaluation for a DA Project involves several steps:
Evaluation Terms of Reference (TOR)
Begin developing the TOR 3–6 months before project completion (at least 6 months for joint projects).
TOR should include: evaluation purpose, project context and description, evaluation objectives and scope, evaluation criteria and tentative questions, methodology (including data availability), key stakeholders to engage, organization and management arrangements, workplan and deliverables, dissemination strategy, evaluation budget, and required qualifications for evaluators (including experience in gender equality and disability inclusion for relevant projects).
Methodology
Use multiple methods and triangulate data for robust findings. Common methods: desk review of project documents, interviews (in-person or remote), focus group discussions, online surveys, field visits (if feasible), observation of project events, and analysis of workshop/meeting recordings.
Select methods based on data availability, project activities, geographic scope, thematic focus, and budget.
Evaluation Criteria
Assess relevance, efficiency, effectiveness, and sustainability.
Include human rights and gender equality as a separate criterion or within the main criteria.
Consider adding coherence in line with OECD/DAC standards.
Report Structure
Follow the DA evaluation report template, which includes: executive summary (3–4 pages), introduction, project description, evaluation objectives, scope, and questions, methodology, findings, conclusions, recommendations, lessons learned and good practices, and annexes (TOR, results framework, evaluation matrix, data collection tools, interviewee list, document list).
Official Guidance
Refer to the DA Evaluation Framework and Project Evaluation Guidelines for detailed requirements.
For joint projects, consult additional guidance in the DA guidance note on terminal evaluation of joint projects.
Ensure integration of gender equality, human rights, and disability inclusion throughout the evaluation process.
Sources:
​T14 DA guidance note on project evaluations - final 2.27.2025.docx​
​T15 DA guidance note on project evaluations - re re final 2.3.2026.docx​
​T14 DA project evaluation report template (annotated).docx​
​T15 DA project evaluation report template (annotated).docx​
Confidence: High
</t>
  </si>
  <si>
    <t>Answer displays twice, answers are identical, but with different formatting? Took multiple attempts to find answer.</t>
  </si>
  <si>
    <t xml:space="preserve">Answer: The DA evaluation report template is the standardized format used for reporting on Development Account (DA) project evaluations. The latest version, relevant from the 15th tranche (T15) onward, is the "DA project evaluation report template 02-2026." This template ensures consistency and completeness in evaluation reporting across projects.
Key Contents of the DA Evaluation Report Template (02-2026):
Cover Page: Includes project title, evaluation period, evaluator(s), evaluation manager(s), and implementing entity’s logo.
Table of Contents: Lists all sections and annexes.
List of Acronyms and Abbreviations
Executive Summary: A stand-alone section (3-4 pages) summarizing the project, evaluation purpose, objectives, scope, methodology, key findings, conclusions, and recommendations.
Introduction
Description of the Project:
Background
Project objectives and expected results
Project strategies and key activities
Beneficiaries and target countries
Key partners and stakeholders
Resources
Link to the Sustainable Development Goals (SDGs)
Innovative elements (if applicable)
Evaluation Objectives, Scope, and Questions:
Purpose and objectives
Evaluation scope, criteria, and questions
Methodology
Findings
Conclusions
Recommendations
Lessons Learned and Good Practices
Annexes:
Evaluation Terms of Reference (TORs)
Project results framework
Evaluation matrix
Data collection instruments
List of individuals interviewed
List of documents reviewed
The template is designed to be logical, clear, and complete, supporting both accountability and learning objectives. All DA project evaluation reports are strongly recommended to use this template, or, if an entity uses its own template, to ensure all required DA elements are included either within the main report or as an attachment. The template also supports the dissemination of lessons learned and good practices beyond the implementing entity.
Sources:
​T15 DA guidance note on project evaluations - re re final 2.3.2026.docx​
​DA project evaluation report template 02-2026.docx​
Confidence: Very High
</t>
  </si>
  <si>
    <t>Answer DOES not appear twice, first try.</t>
  </si>
  <si>
    <t>debug pass messaging seems to be in wrong sequence.</t>
  </si>
  <si>
    <t>Answer: To ensure you are using the most current and relevant procedures when starting a new Development Account (DA) project, you should follow the guidance document from the highest-numbered tranche available, as this represents the most recent tranche guidance. The files in the Project Planning and Design folder are organized by tranche, with the highest number indicating the latest guidance. Unless you specifically need information from an earlier tranche, always use the most recent tranche guidance to ensure your project aligns with the latest procedures and requirements.
Sources:
​readme.docx​
Confidence: Very High</t>
  </si>
  <si>
    <t>Yes*?</t>
  </si>
  <si>
    <t>Answer displays twice. Seems like the source is a doc giving instructions on how Cidy should answer?</t>
  </si>
  <si>
    <t>Answer: Yes, there is a Development Account (DA) checklist available for reviewing concept notes. The checklist is designed to assist DA Focal Points in reviewing each concept note before submission. It covers areas such as the use of the correct template, resource sufficiency, background context, target countries, project objectives, outcomes, outputs, UN system engagement, partnerships, and budget summary. The checklist ensures that all required sections are completed and that the concept note meets quality assurance standards prior to submission. This checklist is referenced as annex 2 in the 19th tranche guidelines and is specifically intended for internal quality review and pre-submission checks by implementing entities.
Sources:
​T19 Concept Note Review Checklist for DA Focal Points.docx​
​T19 Concept Note Guidelines.docx​
Confidence: Very High</t>
  </si>
  <si>
    <t xml:space="preserve">Answer appears twice. </t>
  </si>
  <si>
    <t>Answer: The responsibility for maintaining and updating the knowledge base used by Cidy lies with the Knowledge Control Center. This component tracks knowledge folders, source-use instructions, manager updates, route coverage, and YAML work needed to keep response topics aligned. Additionally, the governance and maintenance architecture includes an inventory generator to regenerate the knowledge inventory from the router and response YAMLs, a refresh workflow for synchronizing and updating files, and a structural test runner to check the inventory's support for expected flows. Human-in-the-loop processes are also in place, ensuring unresolved or low-confidence cases are escalated for human review rather than being treated as definitive answers. This approach ensures that Cidy's knowledge base remains accurate, current, and aligned with institutional requirements.
Sources:
​Cidy - Architecture.docx​
Confidence: Very High</t>
  </si>
  <si>
    <t>Not really correct?</t>
  </si>
  <si>
    <t>Unsure*</t>
  </si>
  <si>
    <t xml:space="preserve">FoundAnswer 1 </t>
  </si>
  <si>
    <t>FoundAnswer 2</t>
  </si>
  <si>
    <t>Cidy's Route</t>
  </si>
  <si>
    <t>e.g., DA All, DA PPD, etc.</t>
  </si>
  <si>
    <t>IsFallback?</t>
  </si>
  <si>
    <t>Cidy's Route (Expected: "DA - All" for all ?'s)</t>
  </si>
  <si>
    <t>Answer: A DA concept note for the 19th tranche must include the following main elements and adhere to specific formatting and content requirements:
Background
Description of the issue the project intends to address, including broader context.
Reference to a human rights-based approach, ‘leaving no one behind’, gender considerations, and disability inclusion.
Specific demand/requests from Member States for the proposed support.
Tentative list of potential target countries, if known.
Connection to the work of the implementing entity/entities and their comparative advantages.
Fascicle Note (used for the Supplementary Information of the Proposed Programme Budget)
a. Title: Concise, positive, and includes thematic area and geographical scope.
b. Implementing entities and partners: List all involved DA entities, starting with the lead, then joint and collaborating entities, using the required format.
c. Relationship to the SDG targets: List up to 10 essential SDG targets in ascending order (numbers only).
d. Objective: One-sentence intended goal, referencing beneficiaries, geographical scope, and substantive focus.
e. Project plan for 2027-2030.
f. Budget summary.
Additional Data Needed for the Fascicle
Complete all required tables in the provided format.
Outcomes and Outputs
Outputs must be sufficient to achieve outcomes, and outcomes must contribute to the objective.
Outputs should describe specific actions, products, or reports in enough detail for clarity.
UN System Coordination
Plans for engaging Resident Coordinator Offices (RCOs) and partnerships with other UN entities must be described specifically for the project.
Budget Narrative
Figures must be in the required format (one decimal place, in thousands of USD).
All budget categories must add up to the total.
Additional Requirements:
Use the official template (Annex 1) for drafting.
Follow the review checklist (Annex 2) before submission.
Ensure internal quality review before submission.
The fascicle note should not exceed one page; the background section should be a maximum of one and a half pages.
Joint projects must meet criteria for shared goals and outcomes, and demonstrate the benefits of collaboration.
These requirements ensure consistency, clarity, and alignment with DA and UN standards for project selection and review.
Sources:
​T19 Concept Note Guidelines.docx​
​T19 Concept Note Review Checklist for DA Focal Points.docx​
Confidence: High</t>
  </si>
  <si>
    <t>DA - NR ALL</t>
  </si>
  <si>
    <t>none</t>
  </si>
  <si>
    <t>Question also had issues with broad/narrow setup</t>
  </si>
  <si>
    <t>Answer: Development Account (DA) projects require ongoing monitoring and annual progress reporting to ensure delivery of expected outcomes within the project implementation period. Key requirements include:
Ongoing Monitoring:
Project teams must periodically monitor the delivery of outputs and progress toward expected outcomes, using indicators from the results framework and following the monitoring plan in the project document.
Monitoring data should inform project adjustments and be used for annual and final reports, as well as for final evaluations if selected.
The DA-PMT provides DA Focal Points with monthly financial implementation rates by project for oversight. For joint projects, rates are also provided by entity to support coordination.
Annual Progress Reports and Monitoring Calls:
Annual progress reports are required to document progress, issues, and any changes to the project over the previous calendar year.
Guidelines for progress reports are shared at the end of each year, and reports are submitted to DA-PMT by the end of March, covering the previous year.
The DA-PMT reviews reports and organizes an annual monitoring call with the DA Focal Point of each entity to discuss questions, concerns, and solutions.
For joint projects with a budget of $1 million or more, the annual monitoring call includes the project steering committee, DA-PMT, DA Focal Points, and Evaluation Focal Points of all jointly implementing entities.
Revisions to Projects:
Annual progress reports allow updates on significant developments and proposals for changes to better deliver expected outcomes.
Significant changes, reasons, and their impact on expected outcomes should be highlighted in annual progress reports and discussed with the DA Focal Point and, if needed, during annual monitoring calls with DA-PMT.
Changes must align with the overall project objective and expected outcomes; a complete overhaul of the approved project or finalized document is not allowed.
Additional Requirements for Joint Projects (USD 1+ million):
An annual monitoring call is mandatory with participation from the project steering committee, DA focal points, evaluation focal points, and DA-PMT, including the DA Evaluation Officer.
All jointly implementing entities should include the terminal evaluation of the joint project in their respective evaluation workplans.
These requirements ensure that DA projects are effectively monitored, reported, and adjusted as needed to achieve their intended results within the set timeframe.
Sources:
​Guide to the Development Account 2025.pdf​
​DA guidance note on terminal evaluation of joint projects v1.pdf​
Confidence: High</t>
  </si>
  <si>
    <t>Answer: Yes, under the Development Account, travel costs are considered eligible expenses. Specifically, the budget class "Travel of Staff (115)" is used exclusively for the travel of UN system-wide staff, covering transportation costs incurred by staff members to carry out missions in support of the implementation of their mandates. This includes participation in expert groups, workshops, and providing advisory services. However, staff travel costs should not be included under "Grants and Contributions – Workshops/Study Tours (145)," and the number of staff traveling per activity should be limited, especially if consultants are also traveling for the same activity. Additionally, high travel expenses are scrutinized, so travel costs should be weighed carefully, and hybrid or virtual options should be considered where possible.
Sources:
​T19 Project Document Guidelines.docx​
​T18 Project Document Guidelines.docx​
​T16 Project Document Guidelines v6 final.pdf​
Confidence: High</t>
  </si>
  <si>
    <t>Answer: The template for Development Account (DA) project evaluation reports includes the following main sections:
Report completion details (date, evaluator names, implementing entity’s logo)
Title: United Nations Development Account Terminal Evaluation of Project ID and title, with start and end years
Evaluator and Evaluation Manager details
Acknowledgements and commissioning entity
Table of Contents, including:
List of Acronyms and Abbreviations
Executive Summary (stand-alone, 3-4 pages, covering project overview, evaluation purpose, objectives, scope, intended users/audiences, methodology, and summary of key findings, conclusions, and recommendations)
Introduction (project overview, background, purpose, objectives, and primary users/audiences)
Description of the Project (background, objectives, expected results, strategies, key activities, beneficiaries, target countries, partners, resources, SDG links, innovative elements)
Evaluation objectives, scope, and questions (purpose, objectives, criteria, and questions)
Methodology
Findings
Conclusions
Recommendations
Lessons learned and good practices
Annexes (Evaluation TORs, project results framework, evaluation matrix, data collection instruments, list of individuals interviewed, list of documents reviewed, and other relevant annexes)
The template emphasizes a logical, clear, and complete structure, with concise language, relevant graphics, and comprehensive annexes. The executive summary is designed to be a stand-alone section, and the report should specify the evaluation’s subject, context, objectives, and scope to guide the evaluation process. The primary users of DA project evaluations are the implementing entities themselves. The template is consistent across recent tranches (13th, 14th, and 15th) and aligns with the UN Secretariat Quality Assurance Framework (ST/AI/2021/3).
Sources:
​T13 DA project evaluation report template (annotated).docx​
​T15 DA project evaluation report template (annotated).docx​
​T14 DA project evaluation report template (annotated).docx​
Confidence: High</t>
  </si>
  <si>
    <t>Answer: For starting a new project under the Development Account (DA), you should always follow the guidance document for the most recent tranche available. The files are organized by tranche number (e.g., T14 for the 14th tranche, T15 for the 15th, etc.), and the highest number tranche represents the latest and most up-to-date guidance. Unless you specifically need information for an earlier tranche, always use the guidance for the highest-numbered tranche to ensure you are following the current requirements and procedures. This applies to both concept notes and project documents, as well as any related annexes or checklists.
Sources:
​readme.docx​
Confidence: Very High</t>
  </si>
  <si>
    <t>Answer: Yes, there is a Development Account (DA) checklist available for reviewing concept notes. The checklist is designed to assist DA Focal Points in reviewing each concept note before submission. It covers areas such as the use of the correct template, resource sufficiency, background context, target countries, project objectives, outcomes and outputs, UN system engagement, partnerships, and budget summary. The checklist ensures that all required sections are completed and that the concept note meets quality standards prior to submission. This checklist is referenced as annex 2 in the 19th tranche guidelines and is specifically intended for internal quality assurance and review processes before submission to the DA Team.
Sources:
​T19 Concept Note Review Checklist for DA Focal Points.docx​
​T19 Concept Note Guidelines.docx​
Confidence: Very High</t>
  </si>
  <si>
    <t>Cidy's Route (Expected: "Cidy DA - All" for all ?'s)</t>
  </si>
  <si>
    <t>Cidy DA - All</t>
  </si>
  <si>
    <t>Answer: Yes, under the Development Account (DA), travel costs are considered eligible expenses. Specifically, the budget class "Travel of Staff (115)" is used exclusively for travel of UN system-wide staff for all types of travel, including participation in expert groups, workshops, and providing advisory services. However, staff travel costs should not be included under workshops or the "Grants and Contributions – Workshops/Study Tours (145)" budget class, which is reserved for the travel/DSA of participants and experts attending seminars, workshops, study tours, and expert group meetings. The number of staff traveling per activity should be limited, especially if consultants are also traveling for the same activity. For joint projects, travel costs should be carefully planned and reported according to the guidelines provided for each tranche of the DA.
Sources:
​T19 Concept Note Guidelines.docx​
​T19 Project Document Guidelines.docx​
​T16 Project Document Guidelines v6 final.pdf​
Confidence: Very High</t>
  </si>
  <si>
    <t>PPD narrow</t>
  </si>
  <si>
    <t>Answer: For the 19th tranche of the Development Account (DA), all concept notes must include the following main elements to be considered:
Background: Provide context and justification for the project.
Fascicle Note:
Title
Implementing entity and partners
Relationship to Sustainable Development Goals (SDGs)
Objective
Project plan (including actions enabled and countries/regions supported)
Expected progress towards the objective and performance measures
Budget summary (with breakdown by cost categories)
Additional Data for the Fascicle:
Tables indicating support for countries with special needs (SIDS, LLDCs, LDCs)
Tables indicating support for specific regions (Africa, Asia and the Pacific, Middle East and North Africa, Latin America and the Caribbean, Europe and Central Asia)
Summary of Consultancy Requirements: Indicate type, number, work-months, and cost of consultants.
Summary of Deliverables:
Quantified deliverables (e.g., number of seminars, workshops, training events)
Non-quantified deliverables (e.g., technical materials, databases)
Outcomes and Outputs:
Clearly defined outcomes (expected changes as a result of outputs)
Briefly described outputs (actions, products, reports, etc.) linked to outcomes
Use of virtual and blended learning methodologies is recommended for capacity development.
Each output should be linked to the outcome it contributes to, and projects should generally have at least two outcomes. The format and structure should follow the official template for the 19th tranche. All sections must be completed as per the guidelines to ensure the concept note is in the correct format and meets quality assurance requirements. Internal quality review is required before submission to the DA Team. Special attention should be given to the capacity of implementing units, especially in light of limited funding for staff support and the need to address low implementation rates. Joint projects must meet specific criteria for shared goals and outputs. Evaluation costs are not included at this stage, as only half of the projects will be selected for final evaluation at the project cycle's midpoint, with funds added later for those selected.
Sources:
​T19 Concept Note Guidelines.docx​
​T19 Concept Note Template.docx​
Confidence: Very High</t>
  </si>
  <si>
    <t xml:space="preserve">Answer: Project monitoring and reporting under the Development Account (DA) require the following:
Annual Progress Reports:
All ongoing projects must submit an annual progress report using the provided Word template and an Excel file with financial tables (Annex).
Reports should present progress in delivering planned outputs and outcomes, using actual measurements of indicators of achievement from the project’s results framework.
Any revisions made or expected should be described in detail.
Reports must be submitted to the Development Account Programme Management Team (DA-PMT) by 31 March of the following year.
There is a section to capture the engagement of contractors (implementing partners) for project activities.
Progress Towards Indicators:
Projects must fill in a table describing performance against outcomes using actual measurements of indicators of achievement.
Key documents and information related to project activities (e.g., lists of workshop participants, survey results) should be retained to inform final report development and evaluation.
Changes and Approvals:
Substantive changes (e.g., target countries, indicators, significant budget revisions) require discussion and pre-approval by DA-PMT.
All changes to GTA (General Temporary Assistance) require approval by DA-PMT and must be updated in Umoja by the DESA Finance Unit.
Output Delivery Status:
Projects must update the results-based workplan (Gantt chart) to reflect actual and planned completion dates for outputs.
These requirements are based on the most recent guidelines for 2025 reporting (16th and 17th tranches) and are subject to updates as indicated in the guidelines.
Sources:
​2025 Progress Report Guidelines vf.docx​
2025 Progress Report Guidelines vf.docx
Confidence: Very High
</t>
  </si>
  <si>
    <t>PM&amp;R narrow</t>
  </si>
  <si>
    <t xml:space="preserve">Gave different source on second answer with same confidence (very high): Answer: Under the Development Account (DA) funding stream, the requirements for project monitoring and reporting include the following key elements:
Ongoing Monitoring:
Project teams are responsible for periodically monitoring the delivery of outputs and progress toward expected outcomes, using indicators of achievement from the results framework and following the monitoring plan outlined in the project document.
Monitoring data should inform ongoing project adjustments to ensure delivery of expected outcomes within the four-year implementation period.
The DA Programme Management Team (DA-PMT) provides DA Focal Points with monthly financial implementation rates by project for oversight. For joint projects, monthly financial implementation rates by entity are also provided to support project-level monitoring and coordination via the project’s steering committee.
Annual Progress Reports and Monitoring Calls:
Annual progress reports are required to document progress, issues, and any changes to the project over the previous calendar year.
Guidelines for progress reports are shared at the end of each year; reports are submitted to DA-PMT by the end of March, covering the previous year.
The DA-PMT reviews reports and organizes an annual monitoring call with the DA Focal Point of each entity to discuss questions, concerns, and solutions.
For joint projects with a budget of $1 million or more, the annual monitoring call includes the project steering committee, DA-PMT, DA Focal Points, and Evaluation Focal Points of all jointly implementing entities.
Revisions to Projects:
Annual progress reports allow updates on significant developments and proposals for changes to better deliver expected outcomes.
Significant changes, reasons, and their impact on expected outcomes should be highlighted in annual progress reports and discussed with the DA Focal Point and, if needed, during annual monitoring calls with DA-PMT.
Changes must align with the overall project objective and expected outcomes; a complete overhaul of the approved project or finalized document is not allowed.
These requirements ensure that projects are closely monitored, issues are addressed in a timely manner, and reporting is standardized across all DA-funded projects, supporting transparency and accountability throughout the project lifecycle.
Sources:
​Guide to the Development Account 2025.pdf​
Confidence: Very High
</t>
  </si>
  <si>
    <t>Answer: Yes, under the Development Account, travel costs are considered eligible expenses. The budget class "Travel of Staff (115)" is specifically designated for the travel of UN system-wide staff, covering transportation costs incurred by staff members to carry out missions in support of the implementation of their mandates. This includes participation in expert groups, workshops, and providing advisory services. However, staff travel costs should not be included under "Grants and Contributions – Workshops/Study Tours (145)", and the number of staff traveling per activity should be limited, especially if consultants are also traveling for the same activity. Additionally, consultant travel is also recognized as an eligible expense under the "Consultants (105)" budget class, where travel and daily subsistence allowance costs may be included for consultants. These guidelines are consistent across the most recent and previous tranches of the Project Document Guidelines for the Development Account.
Sources:
​T19 Project Document Guidelines.docx​
​T18 Project Document Guidelines.docx​
​T16 Project Document Guidelines v6 final.pdf​
​T19 Concept Note Guidelines.docx​
Confidence: High</t>
  </si>
  <si>
    <t>E&amp;D narrow</t>
  </si>
  <si>
    <t>Answer: To design a Development Account (DA) terminal evaluation, follow these structured steps and adhere to official guidance:
Develop a Detailed Tentative Evaluation Plan
For joint projects with a budget of USD 1 million or more, terminal evaluation is mandatory. The plan must be developed by the lead entity’s evaluation unit in consultation with all jointly implementing entities.
The plan should include:
Timeline (report due 9 months after completion for large projects, 6 months for others)
Target users and intended use of results
Arrangements for management and support
Preliminary methodology
Tentative budget (up to 4% of the final project budget)
Follow-up plan
All evaluation units must commit to the plan before project document finalization. If a project’s budget increases to USD 1 million by the third year, it is automatically selected for evaluation and must develop a plan promptly.
Draft the Evaluation Terms of Reference (TOR)
Begin at least 6 months before project completion.
The TOR should include:
Evaluation purpose
Project context and description
Objectives and scope
Evaluation criteria and tentative questions (covering relevance, efficiency, effectiveness, sustainability, and, where relevant, human rights and gender equality)
Methodology (multiple methods, triangulation, desk review, interviews, focus groups, surveys, field visits, workshop observation)
List of key stakeholders
Organization, management, roles, responsibilities, workplan, and deliverables
Dissemination strategy
Evaluation budget (up to 4% of the final project budget; DA-PMT approval needed if exceeded)
Required qualifications for evaluators (including language and regional expertise for multi-region projects)
The TOR must be reviewed and approved by DA-PMT along with the budget request.
Conduct the Evaluation
Managed or overseen by the evaluation units of the implementing entities.
Engage project focal points and relevant stakeholders throughout the process.
Use a combination of methods for data collection and analysis to ensure robust findings (triangulation).
Integrate human rights, gender equality, and, where possible, disability perspectives at all stages.
Reporting and Dissemination
The evaluation report should include an executive summary (3-4 pages) with project overview, purpose, objectives, scope, methodology, and key findings, conclusions, and recommendations.
Develop additional promotional materials for wider dissemination if needed.
Specify how results will be shared with primary and secondary users (e.g., project management, DA-PMT).
Budget and Approval
Evaluation budget is up to 4% of the final project budget, requested from central DA funds in the final year.
Any budget exceeding 4% requires DA-PMT approval.
Adjust the evaluation budget if the project budget is revised.
Official Guidance
Use the latest DA guidance notes and templates for terminal evaluation of joint projects.
Refer to the DA Evaluation Framework and Project Evaluation Guidelines for additional requirements and best practices.
Sources:
​DA guidance note on terminal evaluation of joint projects v1.pdf​
​T15 DA guidance note on project evaluations - re re final 2.3.2026.docx​
​T14 DA guidance note on project evaluations - final 2.27.2025.docx​
Confidence: High</t>
  </si>
  <si>
    <t>DA All broad</t>
  </si>
  <si>
    <t>Answer: The template for Development Account (DA) project evaluation reports includes the following main sections:
Report completion details (date, evaluator names, implementing entity’s logo)
Title: United Nations Development Account Terminal Evaluation of Project ID and title, including start and end years
Evaluator and Evaluation Manager details
Acknowledgements and commissioning entity statement
Table of Contents, including:
List of Acronyms and Abbreviations
Executive Summary (stand-alone, 3-4 pages, covering project overview, evaluation purpose, objectives, scope, methodology, key findings, conclusions, and recommendations)
Introduction (project overview, background, purpose, objectives, users/audiences)
Description of the Project (background, objectives, expected results, strategies, activities, beneficiaries, target countries, partners, resources, SDG links, innovative elements)
Evaluation Objectives, Scope, and Questions (purpose, objectives, scope, criteria, questions)
Methodology
Findings
Conclusions
Recommendations
Lessons Learned and Good Practices
Annexes (Evaluation TORs, project results framework, evaluation matrix, data collection instruments, list of individuals interviewed, list of documents reviewed, and other relevant annexes)
The template emphasizes a clear, logical, and concise structure, with relevant graphics and annexes as needed. The executive summary is designed to be a stand-alone section, and the report should specify the evaluation’s subject, context, objectives, and scope to guide the evaluation process. The primary users of DA project evaluations are the implementing entities themselves. This structure is consistent across the most recent annotated templates for the 15th tranche and is aligned with the UN Secretariat Quality Assurance Framework (ST/AI/2021/3 – October 2021).
Sources:
​T15 DA project evaluation report template (annotated).docx​
​T14 DA project evaluation report template (annotated).docx​
Confidence: High</t>
  </si>
  <si>
    <t>Why was it able to get this one from broad?</t>
  </si>
  <si>
    <t>Answer: To start a new Development Account (DA) project under the most recent 19th tranche (T19) guidelines, follow these key steps:
Drafting the Project Document
Begin by expanding your concept note into a full project document using the provided template.
Ensure all comments from the concept note review are addressed during drafting.
The project document must include sections such as Executive Summary, Demand/Context/Analysis, Project Strategy (with a clear Theory of Change), Gender Equality and Disability Inclusion, Monitoring/Reporting/Evaluation, Mandates/Partnerships, and Budget Tables.
Confirm Country Demand and Stakeholder Engagement
Confirm participation of target countries before submission.
Engage with the Resident Coordinator Offices (RCOs) in each target country during the drafting stage to address country-specific issues.
For joint projects, share the draft with all implementing entities and agree on strategy, roles, responsibilities, and budget distribution.
Internal Review and Quality Assurance
The DA Focal Point (or Focal Points for joint projects) must thoroughly review the project document for quality and completeness.
Complete the internal review checklist before submission.
Submission Timeline
Submit the draft project document to the DA Programme Management Team (DA-PMT) by the specified deadlines (e.g., at least one per entity by 30 June 2026, all by 15 September 2026).
Submissions are accepted on a rolling basis as documents are ready.
DA-PMT Review and Clearance
The DA-PMT reviews submitted documents, provides comments, and ensures alignment with guidelines.
Once cleared, for projects using IPMR, enter project data into IPMR and send the MasterView file to DA-PMT for review.
Budget Approval and Fund Allocation
The General Assembly approves the budget fascicle (planned for late December).
Funds are allocated between February and April of the following year, with flexibility for the actual start date depending on financial conditions.
Monitoring and Reporting
Implementing entities are responsible for monitoring achievement indicators.
Annual Progress Reports (APRs) are due by 31 March each year, starting from the second year of implementation.
A final report is due three months after project completion, including a self-assessment and monitoring data.
Required Documentation:
Project Document (using the T19 template)
Results-based workplan and budget annexes (in a separate Excel file)
Internal review checklist
Evidence of country demand and RCO engagement
For joint projects: agreements on roles, responsibilities, and budget distribution
This process ensures that DA projects are well-planned, country-driven, and aligned with UN coordination mechanisms, with clear requirements for documentation and quality assurance throughout the project cycle.
Sources:
​T19 Project Document Guidelines.docx​
Confidence: Very High</t>
  </si>
  <si>
    <t>Answer: For starting a new project under the Development Account (DA), you should follow the guidance document for the most recent tranche, which is the highest-numbered tranche available. Unless you specifically need information from an earlier tranche, always use the latest tranche guidance to ensure you are following the most up-to-date procedures and requirements. For example, if the 19th tranche is the most recent, use the 19th tranche guidance documents for project planning and design. Refer to the relevant Concept Note Guidelines for concept notes and Project Document Guidelines for project documents, as these are the primary sources for preparing your submissions.
Sources:
​readme.docx​
Confidence: Very High</t>
  </si>
  <si>
    <t>Why route to PPD?</t>
  </si>
  <si>
    <t>Answer: Yes, there is a Development Account (DA) checklist available for reviewing concept notes. The checklist is designed to assist DA Focal Points in reviewing each concept note before submission. It covers areas such as the use of the correct template, resource sufficiency, background context, target countries, project objectives, outcomes and outputs, UN system engagement, partnerships, and budget summary. The checklist ensures that all required sections are completed and that the concept note meets quality assurance standards prior to submission. The most recent guidance indicates that this checklist should be used for internal quality review processes for the 19th tranche of the Development Account.
Sources:
​T19 Concept Note Review Checklist for DA Focal Points.docx​
​T19 Concept Note Guidelines.docx​
Confidence: Very High</t>
  </si>
  <si>
    <t>No*</t>
  </si>
  <si>
    <t>Answer 1/2 both found but different paths? -- seemingly same answer on second pass: Answer: Yes, there is a Development Account (DA) checklist available for reviewing concept notes. The checklist is designed to assist DA Focal Points in reviewing each concept note before submission. It covers areas such as the use of the correct template, resource sufficiency, background context, demand, project objectives, outcomes, outputs, UN system engagement, partnerships, and budget summary. The checklist ensures that all required sections are completed and that the concept note meets quality standards prior to submission. The most recent guidance indicates that this checklist should be used as part of the internal quality review process for concept notes prepared under the 19th tranche of the Development Account.
Sources:
​T19 Concept Note Review Checklist for DA Focal Points.docx​
​T19 Concept Note Guidelines.docx​
Confidence: Very High</t>
  </si>
  <si>
    <t>DA All broad but PPD narrow on Answer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</si>
</sst>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9"/>
      <name val="Calibri"/>
      <family val="2"/>
    </font>
    <font>
      <sz val="9"/>
      <name val="Calibri"/>
      <family val="2"/>
    </font>
    <font>
      <b/>
      <sz val="9"/>
      <color theme="0"/>
      <name val="Calibri"/>
      <family val="2"/>
    </font>
    <font>
      <sz val="9"/>
      <color theme="1"/>
      <name val="Calibri"/>
      <family val="2"/>
    </font>
    <font>
      <sz val="8"/>
      <name val="Calibri"/>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3">
    <xf numFmtId="0" fontId="0" fillId="0" borderId="0" xfId="0"/>
    <xf numFmtId="0" fontId="1" fillId="0" borderId="0" xfId="0" applyFont="1" applyAlignment="1">
      <alignment wrapText="1"/>
    </xf>
    <xf numFmtId="0" fontId="1" fillId="0" borderId="0" xfId="0" applyFont="1"/>
    <xf numFmtId="0" fontId="2" fillId="0" borderId="0" xfId="0" applyFont="1"/>
    <xf numFmtId="0" fontId="2" fillId="0" borderId="0" xfId="0" applyFont="1" applyAlignment="1">
      <alignment wrapText="1"/>
    </xf>
    <xf numFmtId="14" fontId="2" fillId="0" borderId="0" xfId="0" applyNumberFormat="1" applyFont="1"/>
    <xf numFmtId="0" fontId="2" fillId="0" borderId="0" xfId="0" applyFont="1" applyAlignment="1"/>
    <xf numFmtId="0" fontId="3" fillId="2" borderId="1" xfId="0" applyFont="1" applyFill="1" applyBorder="1" applyAlignment="1">
      <alignment wrapText="1"/>
    </xf>
    <xf numFmtId="0" fontId="3" fillId="2" borderId="2" xfId="0" applyFont="1" applyFill="1" applyBorder="1" applyAlignment="1">
      <alignment wrapText="1"/>
    </xf>
    <xf numFmtId="0" fontId="3" fillId="2" borderId="2" xfId="0" applyFont="1" applyFill="1" applyBorder="1"/>
    <xf numFmtId="0" fontId="4" fillId="3" borderId="1" xfId="0" applyFont="1" applyFill="1" applyBorder="1"/>
    <xf numFmtId="0" fontId="4" fillId="3" borderId="2" xfId="0" applyFont="1" applyFill="1" applyBorder="1"/>
    <xf numFmtId="0" fontId="4" fillId="3" borderId="2" xfId="0" applyFont="1" applyFill="1" applyBorder="1" applyAlignment="1">
      <alignment wrapText="1"/>
    </xf>
    <xf numFmtId="0" fontId="4" fillId="3" borderId="2" xfId="0" applyFont="1" applyFill="1" applyBorder="1" applyAlignment="1"/>
    <xf numFmtId="14" fontId="4" fillId="3" borderId="2" xfId="0" applyNumberFormat="1" applyFont="1" applyFill="1" applyBorder="1"/>
    <xf numFmtId="0" fontId="4" fillId="0" borderId="1" xfId="0" applyFont="1" applyBorder="1"/>
    <xf numFmtId="0" fontId="4" fillId="0" borderId="2" xfId="0" applyFont="1" applyBorder="1"/>
    <xf numFmtId="0" fontId="4" fillId="0" borderId="2" xfId="0" applyFont="1" applyBorder="1" applyAlignment="1">
      <alignment wrapText="1"/>
    </xf>
    <xf numFmtId="0" fontId="4" fillId="0" borderId="2" xfId="0" applyFont="1" applyBorder="1" applyAlignment="1"/>
    <xf numFmtId="14" fontId="4" fillId="0" borderId="2" xfId="0" applyNumberFormat="1" applyFont="1" applyBorder="1"/>
    <xf numFmtId="0" fontId="4" fillId="4" borderId="2" xfId="0" applyFont="1" applyFill="1" applyBorder="1"/>
    <xf numFmtId="14" fontId="4" fillId="5" borderId="2" xfId="0" applyNumberFormat="1" applyFont="1" applyFill="1" applyBorder="1"/>
    <xf numFmtId="0" fontId="4" fillId="5" borderId="2" xfId="0" applyFont="1" applyFill="1" applyBorder="1"/>
  </cellXfs>
  <cellStyles count="1">
    <cellStyle name="Normal" xfId="0" builtinId="0"/>
  </cellStyles>
  <dxfs count="30">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strike val="0"/>
        <outline val="0"/>
        <shadow val="0"/>
        <u val="none"/>
        <vertAlign val="baseline"/>
        <sz val="9"/>
        <color auto="1"/>
        <name val="Calibri"/>
        <scheme val="none"/>
      </font>
      <alignment horizontal="general" vertical="bottom" textRotation="0" wrapText="0" indent="0" justifyLastLine="0" shrinkToFit="0" readingOrder="0"/>
    </dxf>
    <dxf>
      <font>
        <strike val="0"/>
        <outline val="0"/>
        <shadow val="0"/>
        <u val="none"/>
        <vertAlign val="baseline"/>
        <sz val="9"/>
        <color auto="1"/>
        <name val="Calibri"/>
        <scheme val="none"/>
      </font>
      <alignment horizontal="general" vertical="bottom" textRotation="0" wrapText="0" indent="0" justifyLastLine="0" shrinkToFit="0" readingOrder="0"/>
    </dxf>
    <dxf>
      <font>
        <strike val="0"/>
        <outline val="0"/>
        <shadow val="0"/>
        <u val="none"/>
        <vertAlign val="baseline"/>
        <sz val="9"/>
        <color auto="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strike val="0"/>
        <outline val="0"/>
        <shadow val="0"/>
        <u val="none"/>
        <vertAlign val="baseline"/>
        <sz val="9"/>
        <color auto="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numFmt numFmtId="0" formatCode="General"/>
    </dxf>
    <dxf>
      <font>
        <strike val="0"/>
        <outline val="0"/>
        <shadow val="0"/>
        <u val="none"/>
        <vertAlign val="baseline"/>
        <sz val="9"/>
        <color auto="1"/>
        <name val="Calibri"/>
        <family val="2"/>
        <scheme val="none"/>
      </font>
      <alignment horizontal="general" vertical="bottom" textRotation="0" wrapText="0" indent="0" justifyLastLine="0" shrinkToFit="0" readingOrder="0"/>
    </dxf>
    <dxf>
      <font>
        <strike val="0"/>
        <outline val="0"/>
        <shadow val="0"/>
        <u val="none"/>
        <vertAlign val="baseline"/>
        <sz val="9"/>
        <color auto="1"/>
        <name val="Calibri"/>
        <scheme val="none"/>
      </font>
    </dxf>
    <dxf>
      <font>
        <strike val="0"/>
        <outline val="0"/>
        <shadow val="0"/>
        <u val="none"/>
        <vertAlign val="baseline"/>
        <sz val="9"/>
        <color auto="1"/>
        <name val="Calibri"/>
        <scheme val="none"/>
      </font>
      <alignment horizontal="general" vertical="bottom" textRotation="0" wrapText="0" indent="0" justifyLastLine="0" shrinkToFit="0" readingOrder="0"/>
    </dxf>
    <dxf>
      <font>
        <strike val="0"/>
        <outline val="0"/>
        <shadow val="0"/>
        <u val="none"/>
        <vertAlign val="baseline"/>
        <sz val="9"/>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 displayName="TestCases" ref="A1:Q100" headerRowDxfId="29" dataDxfId="28" totalsRowDxfId="27">
  <autoFilter ref="A1:Q100" xr:uid="{00000000-0009-0000-0100-000001000000}"/>
  <tableColumns count="17">
    <tableColumn id="1" xr3:uid="{00000000-0010-0000-0000-000001000000}" name="Scenario" dataDxfId="26"/>
    <tableColumn id="14" xr3:uid="{4A7C252B-E6AE-4BAB-8700-BD0D421264B4}" name="Topic Area" dataDxfId="25">
      <calculatedColumnFormula>_xlfn.TEXTBEFORE(_xlfn.TEXTAFTER(A2,"[",-1),"]")</calculatedColumnFormula>
    </tableColumn>
    <tableColumn id="2" xr3:uid="{00000000-0010-0000-0000-000002000000}" name="Test Question" dataDxfId="24"/>
    <tableColumn id="6" xr3:uid="{68F948D1-0E8A-4480-8723-80EC07BAA04C}" name="Prod Answer" dataDxfId="23"/>
    <tableColumn id="12" xr3:uid="{592BE159-2946-4113-A670-6EF553577EF2}" name="General Notes" dataDxfId="22"/>
    <tableColumn id="16" xr3:uid="{3626A57B-48DC-46B9-BCF8-BAFBC8E0C9ED}" name="Cidy's Route" dataDxfId="11"/>
    <tableColumn id="17" xr3:uid="{D58229F1-875A-4B50-8450-24952B7178A5}" name="IsFallback?" dataDxfId="10"/>
    <tableColumn id="8" xr3:uid="{FC7C6CC2-66C4-4B78-8F9E-DC4824CA4968}" name="FoundAnswer 1 " dataDxfId="21"/>
    <tableColumn id="15" xr3:uid="{50FFC729-EC74-4E66-AF9B-3377B0EE5F51}" name="FoundAnswer 2" dataDxfId="12"/>
    <tableColumn id="13" xr3:uid="{94470136-127C-457E-8281-70D3DB7C1FD4}" name="Claude Found?" dataDxfId="20"/>
    <tableColumn id="9" xr3:uid="{551CDDA9-7BAE-4AE5-8237-BD7504F9E735}" name="AnswerQuality" dataDxfId="19"/>
    <tableColumn id="11" xr3:uid="{EC4A9B6F-8976-43CC-A78B-D4C6C117B8BA}" name="CorrectSources" dataDxfId="18"/>
    <tableColumn id="7" xr3:uid="{30840C4C-93AB-4657-A3EE-B277ADF5F742}" name="Test Date" dataDxfId="17"/>
    <tableColumn id="10" xr3:uid="{DB32ACFF-3AD3-4851-952B-2F2090D84F8D}" name="Perfomance" dataDxfId="16"/>
    <tableColumn id="3" xr3:uid="{00000000-0010-0000-0000-000003000000}" name="Clarification" dataDxfId="15"/>
    <tableColumn id="4" xr3:uid="{00000000-0010-0000-0000-000004000000}" name="Expected Behavior" dataDxfId="14"/>
    <tableColumn id="5" xr3:uid="{00000000-0010-0000-0000-000005000000}" name="Date Created"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00"/>
  <sheetViews>
    <sheetView zoomScaleNormal="100" workbookViewId="0">
      <pane ySplit="1" topLeftCell="A2" activePane="bottomLeft" state="frozen"/>
      <selection pane="bottomLeft" activeCell="C11" sqref="C11"/>
    </sheetView>
  </sheetViews>
  <sheetFormatPr defaultColWidth="8.73046875" defaultRowHeight="11.65" x14ac:dyDescent="0.35"/>
  <cols>
    <col min="1" max="1" width="33.19921875" style="4" customWidth="1"/>
    <col min="2" max="2" width="6.265625" style="4" customWidth="1"/>
    <col min="3" max="3" width="32.265625" style="4" customWidth="1"/>
    <col min="4" max="4" width="15.9296875" style="3" customWidth="1"/>
    <col min="5" max="7" width="32.265625" style="3" customWidth="1"/>
    <col min="8" max="12" width="12.9296875" style="4" customWidth="1"/>
    <col min="13" max="13" width="9.73046875" style="4" customWidth="1"/>
    <col min="14" max="14" width="16.53125" style="4" customWidth="1"/>
    <col min="15" max="15" width="17.796875" style="3" customWidth="1"/>
    <col min="16" max="16" width="286" style="3" customWidth="1"/>
    <col min="17" max="17" width="15.46484375" style="3" customWidth="1"/>
    <col min="18" max="16384" width="8.73046875" style="3"/>
  </cols>
  <sheetData>
    <row r="1" spans="1:17" ht="23.25" x14ac:dyDescent="0.35">
      <c r="A1" s="1" t="s">
        <v>0</v>
      </c>
      <c r="B1" s="1" t="s">
        <v>330</v>
      </c>
      <c r="C1" s="1" t="s">
        <v>1</v>
      </c>
      <c r="D1" s="2" t="s">
        <v>187</v>
      </c>
      <c r="E1" s="2" t="s">
        <v>197</v>
      </c>
      <c r="F1" s="2" t="s">
        <v>354</v>
      </c>
      <c r="G1" s="2" t="s">
        <v>356</v>
      </c>
      <c r="H1" s="1" t="s">
        <v>352</v>
      </c>
      <c r="I1" s="1" t="s">
        <v>353</v>
      </c>
      <c r="J1" s="1" t="s">
        <v>232</v>
      </c>
      <c r="K1" s="1" t="s">
        <v>189</v>
      </c>
      <c r="L1" s="1" t="s">
        <v>195</v>
      </c>
      <c r="M1" s="1" t="s">
        <v>188</v>
      </c>
      <c r="N1" s="1" t="s">
        <v>192</v>
      </c>
      <c r="O1" s="2" t="s">
        <v>2</v>
      </c>
      <c r="P1" s="2" t="s">
        <v>3</v>
      </c>
      <c r="Q1" s="2" t="s">
        <v>4</v>
      </c>
    </row>
    <row r="2" spans="1:17" ht="23.25" customHeight="1" x14ac:dyDescent="0.35">
      <c r="A2" s="3" t="s">
        <v>233</v>
      </c>
      <c r="B2" s="3" t="str">
        <f t="shared" ref="B2:B32" si="0">_xlfn.TEXTBEFORE(_xlfn.TEXTAFTER(A2,"[",-1),"]")</f>
        <v>DA</v>
      </c>
      <c r="C2" s="4" t="s">
        <v>5</v>
      </c>
      <c r="D2" s="6" t="s">
        <v>332</v>
      </c>
      <c r="E2" s="3" t="s">
        <v>331</v>
      </c>
      <c r="F2" s="3" t="s">
        <v>355</v>
      </c>
      <c r="H2" s="3" t="s">
        <v>190</v>
      </c>
      <c r="I2" s="3"/>
      <c r="J2" s="3"/>
      <c r="L2" s="4" t="s">
        <v>190</v>
      </c>
      <c r="M2" s="5">
        <v>46194</v>
      </c>
      <c r="N2" s="5" t="s">
        <v>333</v>
      </c>
      <c r="O2" s="3" t="s">
        <v>6</v>
      </c>
      <c r="P2" s="3" t="s">
        <v>7</v>
      </c>
    </row>
    <row r="3" spans="1:17" ht="23.65" customHeight="1" x14ac:dyDescent="0.35">
      <c r="A3" s="3" t="s">
        <v>234</v>
      </c>
      <c r="B3" s="3" t="str">
        <f t="shared" si="0"/>
        <v>DA</v>
      </c>
      <c r="C3" s="4" t="s">
        <v>8</v>
      </c>
      <c r="D3" s="6" t="s">
        <v>336</v>
      </c>
      <c r="E3" s="3" t="s">
        <v>334</v>
      </c>
      <c r="H3" s="3" t="s">
        <v>335</v>
      </c>
      <c r="I3" s="3"/>
      <c r="J3" s="3"/>
      <c r="L3" s="4" t="s">
        <v>190</v>
      </c>
      <c r="M3" s="5">
        <v>46194</v>
      </c>
      <c r="N3" s="5" t="s">
        <v>333</v>
      </c>
      <c r="O3" s="3" t="s">
        <v>6</v>
      </c>
      <c r="P3" s="3" t="s">
        <v>9</v>
      </c>
    </row>
    <row r="4" spans="1:17" ht="23.25" x14ac:dyDescent="0.35">
      <c r="A4" s="3" t="s">
        <v>235</v>
      </c>
      <c r="B4" s="3" t="str">
        <f t="shared" si="0"/>
        <v>DA</v>
      </c>
      <c r="C4" s="4" t="s">
        <v>10</v>
      </c>
      <c r="D4" s="3" t="s">
        <v>200</v>
      </c>
      <c r="E4" s="3" t="s">
        <v>200</v>
      </c>
      <c r="H4" s="3" t="s">
        <v>194</v>
      </c>
      <c r="I4" s="3"/>
      <c r="J4" s="3"/>
      <c r="L4" s="4" t="s">
        <v>200</v>
      </c>
      <c r="M4" s="5">
        <v>46194</v>
      </c>
      <c r="N4" s="5" t="s">
        <v>333</v>
      </c>
      <c r="O4" s="3" t="s">
        <v>6</v>
      </c>
      <c r="P4" s="3" t="s">
        <v>11</v>
      </c>
    </row>
    <row r="5" spans="1:17" ht="23.25" x14ac:dyDescent="0.35">
      <c r="A5" s="3" t="s">
        <v>236</v>
      </c>
      <c r="B5" s="3" t="str">
        <f t="shared" si="0"/>
        <v>DA</v>
      </c>
      <c r="C5" s="4" t="s">
        <v>12</v>
      </c>
      <c r="D5" s="6" t="s">
        <v>337</v>
      </c>
      <c r="E5" s="3" t="s">
        <v>338</v>
      </c>
      <c r="H5" s="3" t="s">
        <v>190</v>
      </c>
      <c r="I5" s="3"/>
      <c r="J5" s="3"/>
      <c r="L5" s="4" t="s">
        <v>190</v>
      </c>
      <c r="M5" s="5">
        <v>46194</v>
      </c>
      <c r="N5" s="5" t="s">
        <v>333</v>
      </c>
      <c r="O5" s="3" t="s">
        <v>6</v>
      </c>
      <c r="P5" s="3" t="s">
        <v>13</v>
      </c>
    </row>
    <row r="6" spans="1:17" ht="19.5" customHeight="1" x14ac:dyDescent="0.35">
      <c r="A6" s="3" t="s">
        <v>237</v>
      </c>
      <c r="B6" s="3" t="str">
        <f t="shared" si="0"/>
        <v>DA</v>
      </c>
      <c r="C6" s="4" t="s">
        <v>14</v>
      </c>
      <c r="D6" s="6" t="s">
        <v>339</v>
      </c>
      <c r="E6" s="3" t="s">
        <v>340</v>
      </c>
      <c r="H6" s="3" t="s">
        <v>335</v>
      </c>
      <c r="I6" s="3"/>
      <c r="J6" s="3"/>
      <c r="L6" s="4" t="s">
        <v>190</v>
      </c>
      <c r="M6" s="5">
        <v>46194</v>
      </c>
      <c r="N6" s="5" t="s">
        <v>333</v>
      </c>
      <c r="O6" s="3" t="s">
        <v>6</v>
      </c>
      <c r="P6" s="3" t="s">
        <v>15</v>
      </c>
    </row>
    <row r="7" spans="1:17" ht="18.399999999999999" customHeight="1" x14ac:dyDescent="0.35">
      <c r="A7" s="3" t="s">
        <v>238</v>
      </c>
      <c r="B7" s="3" t="str">
        <f t="shared" si="0"/>
        <v>DA</v>
      </c>
      <c r="C7" s="4" t="s">
        <v>16</v>
      </c>
      <c r="D7" s="6" t="s">
        <v>341</v>
      </c>
      <c r="E7" s="3" t="s">
        <v>342</v>
      </c>
      <c r="H7" s="3" t="s">
        <v>190</v>
      </c>
      <c r="I7" s="3"/>
      <c r="J7" s="3"/>
      <c r="L7" s="4" t="s">
        <v>190</v>
      </c>
      <c r="M7" s="5">
        <v>46194</v>
      </c>
      <c r="N7" s="5" t="s">
        <v>333</v>
      </c>
      <c r="O7" s="3" t="s">
        <v>6</v>
      </c>
      <c r="P7" s="3" t="s">
        <v>17</v>
      </c>
    </row>
    <row r="8" spans="1:17" ht="22.9" customHeight="1" x14ac:dyDescent="0.35">
      <c r="A8" s="3" t="s">
        <v>239</v>
      </c>
      <c r="B8" s="3" t="str">
        <f t="shared" si="0"/>
        <v>DA</v>
      </c>
      <c r="C8" s="4" t="s">
        <v>18</v>
      </c>
      <c r="D8" s="3" t="s">
        <v>200</v>
      </c>
      <c r="E8" s="3" t="s">
        <v>343</v>
      </c>
      <c r="H8" s="3" t="s">
        <v>194</v>
      </c>
      <c r="I8" s="3"/>
      <c r="J8" s="3"/>
      <c r="L8" s="4" t="s">
        <v>200</v>
      </c>
      <c r="M8" s="5">
        <v>46194</v>
      </c>
      <c r="N8" s="5" t="s">
        <v>333</v>
      </c>
      <c r="O8" s="3" t="s">
        <v>6</v>
      </c>
      <c r="P8" s="3" t="s">
        <v>19</v>
      </c>
    </row>
    <row r="9" spans="1:17" ht="22.5" customHeight="1" x14ac:dyDescent="0.35">
      <c r="A9" s="3" t="s">
        <v>240</v>
      </c>
      <c r="B9" s="3" t="str">
        <f t="shared" si="0"/>
        <v>DA</v>
      </c>
      <c r="C9" s="4" t="s">
        <v>20</v>
      </c>
      <c r="D9" s="6" t="s">
        <v>344</v>
      </c>
      <c r="E9" s="3" t="s">
        <v>346</v>
      </c>
      <c r="H9" s="3" t="s">
        <v>335</v>
      </c>
      <c r="I9" s="3"/>
      <c r="J9" s="3"/>
      <c r="L9" s="4" t="s">
        <v>345</v>
      </c>
      <c r="M9" s="5">
        <v>46194</v>
      </c>
      <c r="N9" s="5" t="s">
        <v>333</v>
      </c>
      <c r="O9" s="3" t="s">
        <v>6</v>
      </c>
      <c r="P9" s="3" t="s">
        <v>21</v>
      </c>
    </row>
    <row r="10" spans="1:17" ht="19.899999999999999" customHeight="1" x14ac:dyDescent="0.35">
      <c r="A10" s="3" t="s">
        <v>241</v>
      </c>
      <c r="B10" s="3" t="str">
        <f t="shared" si="0"/>
        <v>DA</v>
      </c>
      <c r="C10" s="4" t="s">
        <v>22</v>
      </c>
      <c r="D10" s="6" t="s">
        <v>347</v>
      </c>
      <c r="E10" s="3" t="s">
        <v>348</v>
      </c>
      <c r="H10" s="3" t="s">
        <v>190</v>
      </c>
      <c r="I10" s="3"/>
      <c r="J10" s="3"/>
      <c r="L10" s="4" t="s">
        <v>190</v>
      </c>
      <c r="M10" s="5">
        <v>46194</v>
      </c>
      <c r="N10" s="5" t="s">
        <v>333</v>
      </c>
      <c r="O10" s="3" t="s">
        <v>6</v>
      </c>
      <c r="P10" s="3" t="s">
        <v>23</v>
      </c>
    </row>
    <row r="11" spans="1:17" ht="23.25" x14ac:dyDescent="0.35">
      <c r="A11" s="3" t="s">
        <v>242</v>
      </c>
      <c r="B11" s="3" t="str">
        <f t="shared" si="0"/>
        <v>Evaluation</v>
      </c>
      <c r="C11" s="4" t="s">
        <v>24</v>
      </c>
      <c r="D11" s="3" t="s">
        <v>193</v>
      </c>
      <c r="H11" s="3" t="s">
        <v>194</v>
      </c>
      <c r="I11" s="3"/>
      <c r="J11" s="3"/>
      <c r="M11" s="3"/>
      <c r="N11" s="3"/>
      <c r="O11" s="3" t="s">
        <v>6</v>
      </c>
      <c r="P11" s="3" t="s">
        <v>25</v>
      </c>
    </row>
    <row r="12" spans="1:17" ht="34.9" x14ac:dyDescent="0.35">
      <c r="A12" s="3" t="s">
        <v>243</v>
      </c>
      <c r="B12" s="3" t="str">
        <f t="shared" si="0"/>
        <v>Evaluation</v>
      </c>
      <c r="C12" s="4" t="s">
        <v>26</v>
      </c>
      <c r="H12" s="3"/>
      <c r="I12" s="3"/>
      <c r="J12" s="3"/>
      <c r="M12" s="3"/>
      <c r="N12" s="3"/>
      <c r="O12" s="3" t="s">
        <v>6</v>
      </c>
      <c r="P12" s="3" t="s">
        <v>27</v>
      </c>
    </row>
    <row r="13" spans="1:17" ht="23.25" x14ac:dyDescent="0.35">
      <c r="A13" s="3" t="s">
        <v>244</v>
      </c>
      <c r="B13" s="3" t="str">
        <f t="shared" si="0"/>
        <v>Evaluation</v>
      </c>
      <c r="C13" s="4" t="s">
        <v>28</v>
      </c>
      <c r="D13" s="3" t="s">
        <v>198</v>
      </c>
      <c r="E13" s="3" t="s">
        <v>199</v>
      </c>
      <c r="H13" s="3" t="s">
        <v>194</v>
      </c>
      <c r="I13" s="3"/>
      <c r="J13" s="3"/>
      <c r="L13" s="4" t="s">
        <v>200</v>
      </c>
      <c r="M13" s="5">
        <v>46189</v>
      </c>
      <c r="N13" s="3"/>
      <c r="O13" s="3" t="s">
        <v>6</v>
      </c>
      <c r="P13" s="3" t="s">
        <v>27</v>
      </c>
    </row>
    <row r="14" spans="1:17" x14ac:dyDescent="0.35">
      <c r="A14" s="3" t="s">
        <v>245</v>
      </c>
      <c r="B14" s="3" t="str">
        <f t="shared" si="0"/>
        <v>Evaluation</v>
      </c>
      <c r="C14" s="4" t="s">
        <v>29</v>
      </c>
      <c r="D14" s="3" t="s">
        <v>201</v>
      </c>
      <c r="E14" s="3" t="s">
        <v>202</v>
      </c>
      <c r="H14" s="3" t="s">
        <v>194</v>
      </c>
      <c r="I14" s="3"/>
      <c r="J14" s="3"/>
      <c r="L14" s="4" t="s">
        <v>200</v>
      </c>
      <c r="M14" s="5">
        <v>46189</v>
      </c>
      <c r="N14" s="3"/>
      <c r="O14" s="3" t="s">
        <v>6</v>
      </c>
      <c r="P14" s="3" t="s">
        <v>30</v>
      </c>
    </row>
    <row r="15" spans="1:17" ht="23.25" x14ac:dyDescent="0.35">
      <c r="A15" s="3" t="s">
        <v>246</v>
      </c>
      <c r="B15" s="3" t="str">
        <f t="shared" si="0"/>
        <v>Evaluation</v>
      </c>
      <c r="C15" s="4" t="s">
        <v>31</v>
      </c>
      <c r="D15" s="3" t="s">
        <v>204</v>
      </c>
      <c r="H15" s="3" t="s">
        <v>194</v>
      </c>
      <c r="I15" s="3"/>
      <c r="J15" s="3"/>
      <c r="L15" s="4" t="s">
        <v>200</v>
      </c>
      <c r="M15" s="5">
        <v>46189</v>
      </c>
      <c r="N15" s="3"/>
      <c r="O15" s="3" t="s">
        <v>6</v>
      </c>
      <c r="P15" s="3" t="s">
        <v>27</v>
      </c>
    </row>
    <row r="16" spans="1:17" ht="23.25" x14ac:dyDescent="0.35">
      <c r="A16" s="3" t="s">
        <v>247</v>
      </c>
      <c r="B16" s="3" t="str">
        <f t="shared" si="0"/>
        <v>Evaluation</v>
      </c>
      <c r="C16" s="4" t="s">
        <v>32</v>
      </c>
      <c r="D16" s="3" t="s">
        <v>205</v>
      </c>
      <c r="E16" s="3" t="s">
        <v>206</v>
      </c>
      <c r="H16" s="3" t="s">
        <v>190</v>
      </c>
      <c r="I16" s="3"/>
      <c r="J16" s="3"/>
      <c r="L16" s="4" t="s">
        <v>190</v>
      </c>
      <c r="M16" s="5">
        <v>46189</v>
      </c>
      <c r="N16" s="3" t="s">
        <v>207</v>
      </c>
      <c r="O16" s="3" t="s">
        <v>6</v>
      </c>
      <c r="P16" s="3" t="s">
        <v>27</v>
      </c>
    </row>
    <row r="17" spans="1:16" ht="23.25" x14ac:dyDescent="0.35">
      <c r="A17" s="3" t="s">
        <v>248</v>
      </c>
      <c r="B17" s="3" t="str">
        <f t="shared" si="0"/>
        <v>Evaluation</v>
      </c>
      <c r="C17" s="4" t="s">
        <v>33</v>
      </c>
      <c r="D17" s="3" t="s">
        <v>208</v>
      </c>
      <c r="E17" s="3" t="s">
        <v>209</v>
      </c>
      <c r="H17" s="3" t="s">
        <v>194</v>
      </c>
      <c r="I17" s="3"/>
      <c r="J17" s="3"/>
      <c r="L17" s="4" t="s">
        <v>200</v>
      </c>
      <c r="M17" s="5">
        <v>46189</v>
      </c>
      <c r="N17" s="3" t="s">
        <v>207</v>
      </c>
      <c r="O17" s="3" t="s">
        <v>6</v>
      </c>
      <c r="P17" s="3" t="s">
        <v>27</v>
      </c>
    </row>
    <row r="18" spans="1:16" ht="23.25" x14ac:dyDescent="0.35">
      <c r="A18" s="3" t="s">
        <v>249</v>
      </c>
      <c r="B18" s="3" t="str">
        <f t="shared" si="0"/>
        <v>PD</v>
      </c>
      <c r="C18" s="4" t="s">
        <v>34</v>
      </c>
      <c r="D18" s="3" t="s">
        <v>203</v>
      </c>
      <c r="E18" s="3" t="s">
        <v>210</v>
      </c>
      <c r="H18" s="3" t="s">
        <v>194</v>
      </c>
      <c r="I18" s="3"/>
      <c r="J18" s="3"/>
      <c r="L18" s="4" t="s">
        <v>200</v>
      </c>
      <c r="M18" s="5">
        <v>46189</v>
      </c>
      <c r="N18" s="3"/>
      <c r="O18" s="3" t="s">
        <v>6</v>
      </c>
      <c r="P18" s="3" t="s">
        <v>27</v>
      </c>
    </row>
    <row r="19" spans="1:16" x14ac:dyDescent="0.35">
      <c r="A19" s="3" t="s">
        <v>250</v>
      </c>
      <c r="B19" s="3" t="str">
        <f t="shared" si="0"/>
        <v>PD</v>
      </c>
      <c r="C19" s="4" t="s">
        <v>35</v>
      </c>
      <c r="D19" s="3" t="s">
        <v>203</v>
      </c>
      <c r="E19" s="3" t="s">
        <v>211</v>
      </c>
      <c r="H19" s="3" t="s">
        <v>194</v>
      </c>
      <c r="I19" s="3"/>
      <c r="J19" s="3"/>
      <c r="L19" s="4" t="s">
        <v>200</v>
      </c>
      <c r="M19" s="5">
        <v>46189</v>
      </c>
      <c r="N19" s="3"/>
      <c r="O19" s="3" t="s">
        <v>6</v>
      </c>
      <c r="P19" s="3" t="s">
        <v>36</v>
      </c>
    </row>
    <row r="20" spans="1:16" ht="23.25" x14ac:dyDescent="0.35">
      <c r="A20" s="3" t="s">
        <v>251</v>
      </c>
      <c r="B20" s="3" t="str">
        <f t="shared" si="0"/>
        <v>PD</v>
      </c>
      <c r="C20" s="4" t="s">
        <v>37</v>
      </c>
      <c r="D20" s="3" t="s">
        <v>203</v>
      </c>
      <c r="E20" s="3" t="s">
        <v>213</v>
      </c>
      <c r="H20" s="3" t="s">
        <v>194</v>
      </c>
      <c r="I20" s="3"/>
      <c r="J20" s="3"/>
      <c r="L20" s="4" t="s">
        <v>200</v>
      </c>
      <c r="M20" s="5">
        <v>46189</v>
      </c>
      <c r="N20" s="3"/>
      <c r="O20" s="3" t="s">
        <v>6</v>
      </c>
      <c r="P20" s="3" t="s">
        <v>38</v>
      </c>
    </row>
    <row r="21" spans="1:16" x14ac:dyDescent="0.35">
      <c r="A21" s="3" t="s">
        <v>252</v>
      </c>
      <c r="B21" s="3" t="str">
        <f t="shared" si="0"/>
        <v>PD</v>
      </c>
      <c r="C21" s="4" t="s">
        <v>39</v>
      </c>
      <c r="D21" s="3" t="s">
        <v>203</v>
      </c>
      <c r="H21" s="3" t="s">
        <v>194</v>
      </c>
      <c r="I21" s="3"/>
      <c r="J21" s="3"/>
      <c r="L21" s="4" t="s">
        <v>200</v>
      </c>
      <c r="M21" s="5">
        <v>46189</v>
      </c>
      <c r="N21" s="3"/>
      <c r="O21" s="3" t="s">
        <v>6</v>
      </c>
      <c r="P21" s="3" t="s">
        <v>40</v>
      </c>
    </row>
    <row r="22" spans="1:16" ht="23.25" x14ac:dyDescent="0.35">
      <c r="A22" s="3" t="s">
        <v>253</v>
      </c>
      <c r="B22" s="3" t="str">
        <f t="shared" si="0"/>
        <v>PD</v>
      </c>
      <c r="C22" s="4" t="s">
        <v>41</v>
      </c>
      <c r="D22" s="3" t="s">
        <v>203</v>
      </c>
      <c r="E22" s="3" t="s">
        <v>212</v>
      </c>
      <c r="H22" s="3" t="s">
        <v>194</v>
      </c>
      <c r="I22" s="3"/>
      <c r="J22" s="3"/>
      <c r="L22" s="4" t="s">
        <v>200</v>
      </c>
      <c r="M22" s="5">
        <v>46189</v>
      </c>
      <c r="N22" s="3"/>
      <c r="O22" s="3" t="s">
        <v>6</v>
      </c>
      <c r="P22" s="3" t="s">
        <v>42</v>
      </c>
    </row>
    <row r="23" spans="1:16" ht="23.25" x14ac:dyDescent="0.35">
      <c r="A23" s="3" t="s">
        <v>254</v>
      </c>
      <c r="B23" s="3" t="str">
        <f t="shared" si="0"/>
        <v>PD</v>
      </c>
      <c r="C23" s="4" t="s">
        <v>43</v>
      </c>
      <c r="D23" s="3" t="s">
        <v>203</v>
      </c>
      <c r="H23" s="3" t="s">
        <v>194</v>
      </c>
      <c r="I23" s="3"/>
      <c r="J23" s="3"/>
      <c r="L23" s="4" t="s">
        <v>200</v>
      </c>
      <c r="M23" s="5">
        <v>46189</v>
      </c>
      <c r="N23" s="3"/>
      <c r="O23" s="3" t="s">
        <v>6</v>
      </c>
      <c r="P23" s="3" t="s">
        <v>44</v>
      </c>
    </row>
    <row r="24" spans="1:16" ht="23.25" x14ac:dyDescent="0.35">
      <c r="A24" s="3" t="s">
        <v>255</v>
      </c>
      <c r="B24" s="3" t="str">
        <f t="shared" si="0"/>
        <v>PD</v>
      </c>
      <c r="C24" s="4" t="s">
        <v>45</v>
      </c>
      <c r="D24" s="3" t="s">
        <v>214</v>
      </c>
      <c r="E24" s="3" t="s">
        <v>215</v>
      </c>
      <c r="H24" s="3" t="s">
        <v>190</v>
      </c>
      <c r="I24" s="3"/>
      <c r="J24" s="3"/>
      <c r="L24" s="4" t="s">
        <v>190</v>
      </c>
      <c r="M24" s="5">
        <v>46189</v>
      </c>
      <c r="N24" s="3" t="s">
        <v>216</v>
      </c>
      <c r="O24" s="3" t="s">
        <v>6</v>
      </c>
      <c r="P24" s="3" t="s">
        <v>44</v>
      </c>
    </row>
    <row r="25" spans="1:16" ht="34.9" x14ac:dyDescent="0.35">
      <c r="A25" s="3" t="s">
        <v>256</v>
      </c>
      <c r="B25" s="3" t="str">
        <f t="shared" si="0"/>
        <v>PD</v>
      </c>
      <c r="C25" s="4" t="s">
        <v>46</v>
      </c>
      <c r="D25" s="3" t="s">
        <v>217</v>
      </c>
      <c r="E25" s="3" t="s">
        <v>218</v>
      </c>
      <c r="H25" s="3" t="s">
        <v>190</v>
      </c>
      <c r="I25" s="3"/>
      <c r="J25" s="3"/>
      <c r="L25" s="4" t="s">
        <v>190</v>
      </c>
      <c r="M25" s="5">
        <v>46189</v>
      </c>
      <c r="N25" s="3" t="s">
        <v>221</v>
      </c>
      <c r="O25" s="3" t="s">
        <v>6</v>
      </c>
      <c r="P25" s="3" t="s">
        <v>44</v>
      </c>
    </row>
    <row r="26" spans="1:16" ht="23.25" x14ac:dyDescent="0.35">
      <c r="A26" s="3" t="s">
        <v>257</v>
      </c>
      <c r="B26" s="3" t="str">
        <f t="shared" si="0"/>
        <v>PD</v>
      </c>
      <c r="C26" s="4" t="s">
        <v>47</v>
      </c>
      <c r="D26" s="3" t="s">
        <v>220</v>
      </c>
      <c r="E26" s="3" t="s">
        <v>219</v>
      </c>
      <c r="H26" s="3" t="s">
        <v>190</v>
      </c>
      <c r="I26" s="3"/>
      <c r="J26" s="3"/>
      <c r="L26" s="4" t="s">
        <v>190</v>
      </c>
      <c r="M26" s="5">
        <v>46189</v>
      </c>
      <c r="N26" s="3"/>
      <c r="O26" s="3" t="s">
        <v>6</v>
      </c>
      <c r="P26" s="3" t="s">
        <v>48</v>
      </c>
    </row>
    <row r="27" spans="1:16" ht="23.25" x14ac:dyDescent="0.35">
      <c r="A27" s="3" t="s">
        <v>258</v>
      </c>
      <c r="B27" s="3" t="str">
        <f t="shared" si="0"/>
        <v>PD</v>
      </c>
      <c r="C27" s="4" t="s">
        <v>49</v>
      </c>
      <c r="D27" s="3" t="s">
        <v>222</v>
      </c>
      <c r="E27" s="3" t="s">
        <v>200</v>
      </c>
      <c r="H27" s="3" t="s">
        <v>190</v>
      </c>
      <c r="I27" s="3"/>
      <c r="J27" s="3"/>
      <c r="L27" s="4" t="s">
        <v>190</v>
      </c>
      <c r="M27" s="5">
        <v>46189</v>
      </c>
      <c r="N27" s="3" t="s">
        <v>223</v>
      </c>
      <c r="O27" s="3" t="s">
        <v>6</v>
      </c>
      <c r="P27" s="3" t="s">
        <v>48</v>
      </c>
    </row>
    <row r="28" spans="1:16" ht="23.25" x14ac:dyDescent="0.35">
      <c r="A28" s="3" t="s">
        <v>259</v>
      </c>
      <c r="B28" s="3" t="str">
        <f t="shared" si="0"/>
        <v>RPTC</v>
      </c>
      <c r="C28" s="4" t="s">
        <v>50</v>
      </c>
      <c r="D28" s="3" t="s">
        <v>224</v>
      </c>
      <c r="E28" s="3" t="s">
        <v>200</v>
      </c>
      <c r="H28" s="3" t="s">
        <v>190</v>
      </c>
      <c r="I28" s="3"/>
      <c r="J28" s="3"/>
      <c r="L28" s="4" t="s">
        <v>190</v>
      </c>
      <c r="M28" s="5">
        <v>46189</v>
      </c>
      <c r="N28" s="3" t="s">
        <v>225</v>
      </c>
      <c r="O28" s="3" t="s">
        <v>6</v>
      </c>
      <c r="P28" s="3" t="s">
        <v>48</v>
      </c>
    </row>
    <row r="29" spans="1:16" ht="23.25" x14ac:dyDescent="0.35">
      <c r="A29" s="3" t="s">
        <v>260</v>
      </c>
      <c r="B29" s="3" t="str">
        <f t="shared" si="0"/>
        <v>RPTC</v>
      </c>
      <c r="C29" s="4" t="s">
        <v>51</v>
      </c>
      <c r="D29" s="3" t="s">
        <v>203</v>
      </c>
      <c r="E29" s="3" t="s">
        <v>226</v>
      </c>
      <c r="H29" s="3" t="s">
        <v>194</v>
      </c>
      <c r="I29" s="3"/>
      <c r="J29" s="3"/>
      <c r="L29" s="4" t="s">
        <v>200</v>
      </c>
      <c r="M29" s="5">
        <v>46189</v>
      </c>
      <c r="N29" s="3" t="s">
        <v>227</v>
      </c>
      <c r="O29" s="3" t="s">
        <v>6</v>
      </c>
      <c r="P29" s="3" t="s">
        <v>52</v>
      </c>
    </row>
    <row r="30" spans="1:16" x14ac:dyDescent="0.35">
      <c r="A30" s="3" t="s">
        <v>261</v>
      </c>
      <c r="B30" s="3" t="str">
        <f t="shared" si="0"/>
        <v>RPTC</v>
      </c>
      <c r="C30" s="4" t="s">
        <v>53</v>
      </c>
      <c r="D30" s="3" t="s">
        <v>203</v>
      </c>
      <c r="H30" s="3" t="s">
        <v>194</v>
      </c>
      <c r="I30" s="3"/>
      <c r="J30" s="3"/>
      <c r="L30" s="4" t="s">
        <v>200</v>
      </c>
      <c r="M30" s="5">
        <v>46189</v>
      </c>
      <c r="N30" s="3"/>
      <c r="O30" s="3" t="s">
        <v>6</v>
      </c>
      <c r="P30" s="3" t="s">
        <v>52</v>
      </c>
    </row>
    <row r="31" spans="1:16" x14ac:dyDescent="0.35">
      <c r="A31" s="3" t="s">
        <v>262</v>
      </c>
      <c r="B31" s="3" t="str">
        <f t="shared" si="0"/>
        <v>RPTC</v>
      </c>
      <c r="C31" s="4" t="s">
        <v>54</v>
      </c>
      <c r="D31" s="3" t="s">
        <v>203</v>
      </c>
      <c r="H31" s="3" t="s">
        <v>194</v>
      </c>
      <c r="I31" s="3"/>
      <c r="J31" s="3"/>
      <c r="L31" s="4" t="s">
        <v>200</v>
      </c>
      <c r="M31" s="5">
        <v>46189</v>
      </c>
      <c r="N31" s="3"/>
      <c r="O31" s="3" t="s">
        <v>6</v>
      </c>
      <c r="P31" s="3" t="s">
        <v>52</v>
      </c>
    </row>
    <row r="32" spans="1:16" ht="23.25" x14ac:dyDescent="0.35">
      <c r="A32" s="3" t="s">
        <v>263</v>
      </c>
      <c r="B32" s="3" t="str">
        <f t="shared" si="0"/>
        <v>RPTC</v>
      </c>
      <c r="C32" s="4" t="s">
        <v>55</v>
      </c>
      <c r="D32" s="3" t="s">
        <v>203</v>
      </c>
      <c r="H32" s="3" t="s">
        <v>194</v>
      </c>
      <c r="I32" s="3"/>
      <c r="J32" s="3"/>
      <c r="L32" s="4" t="s">
        <v>200</v>
      </c>
      <c r="M32" s="5">
        <v>46189</v>
      </c>
      <c r="N32" s="3"/>
      <c r="O32" s="3" t="s">
        <v>6</v>
      </c>
      <c r="P32" s="3" t="s">
        <v>52</v>
      </c>
    </row>
    <row r="33" spans="1:16" x14ac:dyDescent="0.35">
      <c r="A33" s="3" t="s">
        <v>264</v>
      </c>
      <c r="B33" s="3" t="str">
        <f t="shared" ref="B33:B64" si="1">_xlfn.TEXTBEFORE(_xlfn.TEXTAFTER(A33,"[",-1),"]")</f>
        <v>RPTC</v>
      </c>
      <c r="C33" s="4" t="s">
        <v>56</v>
      </c>
      <c r="D33" s="3" t="s">
        <v>203</v>
      </c>
      <c r="H33" s="3" t="s">
        <v>194</v>
      </c>
      <c r="I33" s="3"/>
      <c r="J33" s="3"/>
      <c r="L33" s="4" t="s">
        <v>200</v>
      </c>
      <c r="M33" s="5">
        <v>46189</v>
      </c>
      <c r="N33" s="3"/>
      <c r="O33" s="3" t="s">
        <v>6</v>
      </c>
      <c r="P33" s="3" t="s">
        <v>52</v>
      </c>
    </row>
    <row r="34" spans="1:16" x14ac:dyDescent="0.35">
      <c r="A34" s="3" t="s">
        <v>265</v>
      </c>
      <c r="B34" s="3" t="str">
        <f t="shared" si="1"/>
        <v>PDF</v>
      </c>
      <c r="C34" s="4" t="s">
        <v>57</v>
      </c>
      <c r="D34" s="3" t="s">
        <v>203</v>
      </c>
      <c r="H34" s="3" t="s">
        <v>194</v>
      </c>
      <c r="I34" s="3"/>
      <c r="J34" s="3"/>
      <c r="L34" s="4" t="s">
        <v>200</v>
      </c>
      <c r="M34" s="5">
        <v>46189</v>
      </c>
      <c r="N34" s="3"/>
      <c r="O34" s="3" t="s">
        <v>6</v>
      </c>
      <c r="P34" s="3" t="s">
        <v>52</v>
      </c>
    </row>
    <row r="35" spans="1:16" ht="23.25" x14ac:dyDescent="0.35">
      <c r="A35" s="3" t="s">
        <v>266</v>
      </c>
      <c r="B35" s="3" t="str">
        <f t="shared" si="1"/>
        <v>About Cidy</v>
      </c>
      <c r="C35" s="4" t="s">
        <v>58</v>
      </c>
      <c r="D35" s="3" t="s">
        <v>203</v>
      </c>
      <c r="H35" s="3" t="s">
        <v>194</v>
      </c>
      <c r="I35" s="3"/>
      <c r="J35" s="3"/>
      <c r="L35" s="4" t="s">
        <v>200</v>
      </c>
      <c r="M35" s="5">
        <v>46189</v>
      </c>
      <c r="N35" s="3"/>
      <c r="O35" s="3" t="s">
        <v>6</v>
      </c>
      <c r="P35" s="3" t="s">
        <v>59</v>
      </c>
    </row>
    <row r="36" spans="1:16" x14ac:dyDescent="0.35">
      <c r="A36" s="3" t="s">
        <v>267</v>
      </c>
      <c r="B36" s="3" t="str">
        <f t="shared" si="1"/>
        <v>About Cidy</v>
      </c>
      <c r="C36" s="4" t="s">
        <v>60</v>
      </c>
      <c r="D36" s="3" t="s">
        <v>228</v>
      </c>
      <c r="E36" s="3" t="s">
        <v>229</v>
      </c>
      <c r="H36" s="3" t="s">
        <v>190</v>
      </c>
      <c r="I36" s="3"/>
      <c r="J36" s="3"/>
      <c r="L36" s="4" t="s">
        <v>190</v>
      </c>
      <c r="M36" s="5">
        <v>46189</v>
      </c>
      <c r="N36" s="3"/>
      <c r="O36" s="3" t="s">
        <v>6</v>
      </c>
      <c r="P36" s="3" t="s">
        <v>61</v>
      </c>
    </row>
    <row r="37" spans="1:16" ht="23.25" x14ac:dyDescent="0.35">
      <c r="A37" s="3" t="s">
        <v>268</v>
      </c>
      <c r="B37" s="3" t="str">
        <f t="shared" si="1"/>
        <v>About Cidy</v>
      </c>
      <c r="C37" s="4" t="s">
        <v>62</v>
      </c>
      <c r="D37" s="3" t="s">
        <v>230</v>
      </c>
      <c r="H37" s="3" t="s">
        <v>190</v>
      </c>
      <c r="I37" s="3"/>
      <c r="J37" s="3"/>
      <c r="L37" s="4" t="s">
        <v>190</v>
      </c>
      <c r="M37" s="5">
        <v>46189</v>
      </c>
      <c r="N37" s="3"/>
      <c r="O37" s="3" t="s">
        <v>6</v>
      </c>
      <c r="P37" s="3" t="s">
        <v>63</v>
      </c>
    </row>
    <row r="38" spans="1:16" x14ac:dyDescent="0.35">
      <c r="A38" s="3" t="s">
        <v>269</v>
      </c>
      <c r="B38" s="3" t="s">
        <v>85</v>
      </c>
      <c r="C38" s="4" t="s">
        <v>64</v>
      </c>
      <c r="D38" s="6" t="s">
        <v>349</v>
      </c>
      <c r="E38" s="3" t="s">
        <v>350</v>
      </c>
      <c r="H38" s="3" t="s">
        <v>335</v>
      </c>
      <c r="I38" s="3"/>
      <c r="J38" s="3"/>
      <c r="L38" s="4" t="s">
        <v>351</v>
      </c>
      <c r="M38" s="5">
        <v>46194</v>
      </c>
      <c r="N38" s="3"/>
      <c r="O38" s="3" t="s">
        <v>6</v>
      </c>
      <c r="P38" s="3" t="s">
        <v>63</v>
      </c>
    </row>
    <row r="39" spans="1:16" x14ac:dyDescent="0.35">
      <c r="A39" s="3" t="s">
        <v>270</v>
      </c>
      <c r="B39" s="3" t="str">
        <f t="shared" si="1"/>
        <v>RPTC</v>
      </c>
      <c r="C39" s="4" t="s">
        <v>65</v>
      </c>
      <c r="D39" s="3" t="s">
        <v>203</v>
      </c>
      <c r="E39" s="3" t="s">
        <v>231</v>
      </c>
      <c r="H39" s="3" t="s">
        <v>194</v>
      </c>
      <c r="I39" s="3"/>
      <c r="J39" s="3"/>
      <c r="L39" s="4" t="s">
        <v>200</v>
      </c>
      <c r="M39" s="5">
        <v>46189</v>
      </c>
      <c r="N39" s="3"/>
      <c r="O39" s="3" t="s">
        <v>66</v>
      </c>
      <c r="P39" s="3" t="s">
        <v>67</v>
      </c>
    </row>
    <row r="40" spans="1:16" x14ac:dyDescent="0.35">
      <c r="A40" s="3" t="s">
        <v>271</v>
      </c>
      <c r="B40" s="3" t="str">
        <f t="shared" si="1"/>
        <v>PDF</v>
      </c>
      <c r="C40" s="4" t="s">
        <v>68</v>
      </c>
      <c r="H40" s="3"/>
      <c r="I40" s="3"/>
      <c r="J40" s="3"/>
      <c r="M40" s="5"/>
      <c r="N40" s="3"/>
      <c r="O40" s="3" t="s">
        <v>69</v>
      </c>
      <c r="P40" s="3" t="s">
        <v>70</v>
      </c>
    </row>
    <row r="41" spans="1:16" x14ac:dyDescent="0.35">
      <c r="A41" s="3" t="s">
        <v>272</v>
      </c>
      <c r="B41" s="3" t="str">
        <f t="shared" si="1"/>
        <v>Not Sure</v>
      </c>
      <c r="C41" s="4" t="s">
        <v>71</v>
      </c>
      <c r="H41" s="3"/>
      <c r="I41" s="3"/>
      <c r="J41" s="3"/>
      <c r="M41" s="5"/>
      <c r="N41" s="3"/>
      <c r="O41" s="3" t="s">
        <v>72</v>
      </c>
      <c r="P41" s="3" t="s">
        <v>73</v>
      </c>
    </row>
    <row r="42" spans="1:16" x14ac:dyDescent="0.35">
      <c r="A42" s="3" t="s">
        <v>273</v>
      </c>
      <c r="B42" s="3" t="str">
        <f t="shared" si="1"/>
        <v>Not Sure</v>
      </c>
      <c r="C42" s="4" t="s">
        <v>74</v>
      </c>
      <c r="H42" s="3"/>
      <c r="I42" s="3"/>
      <c r="J42" s="3"/>
      <c r="M42" s="5"/>
      <c r="N42" s="3"/>
      <c r="O42" s="3" t="s">
        <v>75</v>
      </c>
      <c r="P42" s="3" t="s">
        <v>76</v>
      </c>
    </row>
    <row r="43" spans="1:16" x14ac:dyDescent="0.35">
      <c r="A43" s="3" t="s">
        <v>274</v>
      </c>
      <c r="B43" s="3" t="str">
        <f t="shared" si="1"/>
        <v>Not Sure</v>
      </c>
      <c r="C43" s="4" t="s">
        <v>77</v>
      </c>
      <c r="H43" s="3"/>
      <c r="I43" s="3"/>
      <c r="J43" s="3"/>
      <c r="M43" s="5"/>
      <c r="N43" s="3"/>
      <c r="O43" s="3" t="s">
        <v>66</v>
      </c>
      <c r="P43" s="3" t="s">
        <v>78</v>
      </c>
    </row>
    <row r="44" spans="1:16" x14ac:dyDescent="0.35">
      <c r="A44" s="3" t="s">
        <v>275</v>
      </c>
      <c r="B44" s="3" t="str">
        <f t="shared" si="1"/>
        <v>Not Sure</v>
      </c>
      <c r="C44" s="4" t="s">
        <v>77</v>
      </c>
      <c r="H44" s="3"/>
      <c r="I44" s="3"/>
      <c r="J44" s="3"/>
      <c r="M44" s="5"/>
      <c r="N44" s="3"/>
      <c r="O44" s="3" t="s">
        <v>79</v>
      </c>
      <c r="P44" s="3" t="s">
        <v>80</v>
      </c>
    </row>
    <row r="45" spans="1:16" ht="23.25" x14ac:dyDescent="0.35">
      <c r="A45" s="3" t="s">
        <v>276</v>
      </c>
      <c r="B45" s="3" t="str">
        <f t="shared" si="1"/>
        <v>Not Sure</v>
      </c>
      <c r="C45" s="4" t="s">
        <v>81</v>
      </c>
      <c r="H45" s="3"/>
      <c r="I45" s="3"/>
      <c r="J45" s="3"/>
      <c r="M45" s="5"/>
      <c r="N45" s="3"/>
      <c r="O45" s="3" t="s">
        <v>82</v>
      </c>
      <c r="P45" s="3" t="s">
        <v>83</v>
      </c>
    </row>
    <row r="46" spans="1:16" x14ac:dyDescent="0.35">
      <c r="A46" s="3" t="s">
        <v>277</v>
      </c>
      <c r="B46" s="3" t="str">
        <f t="shared" si="1"/>
        <v>Not Sure</v>
      </c>
      <c r="C46" s="4" t="s">
        <v>84</v>
      </c>
      <c r="H46" s="3"/>
      <c r="I46" s="3"/>
      <c r="J46" s="3"/>
      <c r="M46" s="5"/>
      <c r="N46" s="3"/>
      <c r="O46" s="3" t="s">
        <v>85</v>
      </c>
      <c r="P46" s="3" t="s">
        <v>86</v>
      </c>
    </row>
    <row r="47" spans="1:16" x14ac:dyDescent="0.35">
      <c r="A47" s="3" t="s">
        <v>278</v>
      </c>
      <c r="B47" s="3" t="str">
        <f t="shared" si="1"/>
        <v>Not Sure</v>
      </c>
      <c r="C47" s="4" t="s">
        <v>87</v>
      </c>
      <c r="H47" s="3"/>
      <c r="I47" s="3"/>
      <c r="J47" s="3"/>
      <c r="M47" s="5"/>
      <c r="N47" s="3"/>
      <c r="O47" s="3" t="s">
        <v>69</v>
      </c>
      <c r="P47" s="3" t="s">
        <v>88</v>
      </c>
    </row>
    <row r="48" spans="1:16" x14ac:dyDescent="0.35">
      <c r="A48" s="3" t="s">
        <v>279</v>
      </c>
      <c r="B48" s="3" t="str">
        <f t="shared" si="1"/>
        <v>Not Sure</v>
      </c>
      <c r="C48" s="4" t="s">
        <v>89</v>
      </c>
      <c r="H48" s="3"/>
      <c r="I48" s="3"/>
      <c r="J48" s="3"/>
      <c r="M48" s="5"/>
      <c r="N48" s="3"/>
      <c r="O48" s="3" t="s">
        <v>90</v>
      </c>
      <c r="P48" s="3" t="s">
        <v>91</v>
      </c>
    </row>
    <row r="49" spans="1:16" x14ac:dyDescent="0.35">
      <c r="A49" s="3" t="s">
        <v>280</v>
      </c>
      <c r="B49" s="3" t="str">
        <f t="shared" si="1"/>
        <v>Not Sure</v>
      </c>
      <c r="C49" s="4" t="s">
        <v>89</v>
      </c>
      <c r="H49" s="3"/>
      <c r="I49" s="3"/>
      <c r="J49" s="3"/>
      <c r="M49" s="5"/>
      <c r="N49" s="3"/>
      <c r="O49" s="3" t="s">
        <v>92</v>
      </c>
      <c r="P49" s="3" t="s">
        <v>93</v>
      </c>
    </row>
    <row r="50" spans="1:16" x14ac:dyDescent="0.35">
      <c r="A50" s="3" t="s">
        <v>281</v>
      </c>
      <c r="B50" s="3" t="str">
        <f t="shared" si="1"/>
        <v>Not Sure</v>
      </c>
      <c r="C50" s="4" t="s">
        <v>94</v>
      </c>
      <c r="H50" s="3"/>
      <c r="I50" s="3"/>
      <c r="J50" s="3"/>
      <c r="M50" s="5"/>
      <c r="N50" s="3"/>
      <c r="O50" s="3" t="s">
        <v>95</v>
      </c>
      <c r="P50" s="3" t="s">
        <v>96</v>
      </c>
    </row>
    <row r="51" spans="1:16" x14ac:dyDescent="0.35">
      <c r="A51" s="3" t="s">
        <v>282</v>
      </c>
      <c r="B51" s="3" t="str">
        <f t="shared" si="1"/>
        <v>Not Sure</v>
      </c>
      <c r="C51" s="4" t="s">
        <v>97</v>
      </c>
      <c r="H51" s="3"/>
      <c r="I51" s="3"/>
      <c r="J51" s="3"/>
      <c r="M51" s="5"/>
      <c r="N51" s="3"/>
      <c r="O51" s="3" t="s">
        <v>98</v>
      </c>
      <c r="P51" s="3" t="s">
        <v>99</v>
      </c>
    </row>
    <row r="52" spans="1:16" x14ac:dyDescent="0.35">
      <c r="A52" s="3" t="s">
        <v>283</v>
      </c>
      <c r="B52" s="3" t="str">
        <f t="shared" si="1"/>
        <v>Not Sure</v>
      </c>
      <c r="C52" s="4" t="s">
        <v>100</v>
      </c>
      <c r="H52" s="3"/>
      <c r="I52" s="3"/>
      <c r="J52" s="3"/>
      <c r="M52" s="5"/>
      <c r="N52" s="3"/>
      <c r="O52" s="3" t="s">
        <v>101</v>
      </c>
      <c r="P52" s="3" t="s">
        <v>102</v>
      </c>
    </row>
    <row r="53" spans="1:16" x14ac:dyDescent="0.35">
      <c r="A53" s="3" t="s">
        <v>284</v>
      </c>
      <c r="B53" s="3" t="str">
        <f t="shared" si="1"/>
        <v>Not Sure</v>
      </c>
      <c r="C53" s="4" t="s">
        <v>103</v>
      </c>
      <c r="H53" s="3"/>
      <c r="I53" s="3"/>
      <c r="J53" s="3"/>
      <c r="M53" s="5"/>
      <c r="N53" s="3"/>
      <c r="O53" s="3" t="s">
        <v>104</v>
      </c>
      <c r="P53" s="3" t="s">
        <v>105</v>
      </c>
    </row>
    <row r="54" spans="1:16" x14ac:dyDescent="0.35">
      <c r="A54" s="3" t="s">
        <v>285</v>
      </c>
      <c r="B54" s="3" t="str">
        <f t="shared" si="1"/>
        <v>Not Sure</v>
      </c>
      <c r="C54" s="4" t="s">
        <v>106</v>
      </c>
      <c r="H54" s="3"/>
      <c r="I54" s="3"/>
      <c r="J54" s="3"/>
      <c r="M54" s="5"/>
      <c r="N54" s="3"/>
      <c r="O54" s="3" t="s">
        <v>107</v>
      </c>
      <c r="P54" s="3" t="s">
        <v>108</v>
      </c>
    </row>
    <row r="55" spans="1:16" x14ac:dyDescent="0.35">
      <c r="A55" s="3" t="s">
        <v>286</v>
      </c>
      <c r="B55" s="3" t="str">
        <f t="shared" si="1"/>
        <v>Not Sure</v>
      </c>
      <c r="C55" s="4" t="s">
        <v>109</v>
      </c>
      <c r="H55" s="3"/>
      <c r="I55" s="3"/>
      <c r="J55" s="3"/>
      <c r="M55" s="5"/>
      <c r="N55" s="3"/>
      <c r="O55" s="3" t="s">
        <v>110</v>
      </c>
      <c r="P55" s="3" t="s">
        <v>111</v>
      </c>
    </row>
    <row r="56" spans="1:16" x14ac:dyDescent="0.35">
      <c r="A56" s="3" t="s">
        <v>287</v>
      </c>
      <c r="B56" s="3" t="str">
        <f t="shared" si="1"/>
        <v>Not Sure</v>
      </c>
      <c r="C56" s="4" t="s">
        <v>109</v>
      </c>
      <c r="H56" s="3"/>
      <c r="I56" s="3"/>
      <c r="J56" s="3"/>
      <c r="M56" s="5"/>
      <c r="N56" s="3"/>
      <c r="O56" s="3" t="s">
        <v>112</v>
      </c>
      <c r="P56" s="3" t="s">
        <v>113</v>
      </c>
    </row>
    <row r="57" spans="1:16" x14ac:dyDescent="0.35">
      <c r="A57" s="3" t="s">
        <v>288</v>
      </c>
      <c r="B57" s="3" t="str">
        <f t="shared" si="1"/>
        <v>Not Sure</v>
      </c>
      <c r="C57" s="4" t="s">
        <v>114</v>
      </c>
      <c r="H57" s="3"/>
      <c r="I57" s="3"/>
      <c r="J57" s="3"/>
      <c r="M57" s="3"/>
      <c r="N57" s="3"/>
      <c r="O57" s="3" t="s">
        <v>6</v>
      </c>
      <c r="P57" s="3" t="s">
        <v>115</v>
      </c>
    </row>
    <row r="58" spans="1:16" x14ac:dyDescent="0.35">
      <c r="A58" s="3" t="s">
        <v>289</v>
      </c>
      <c r="B58" s="3" t="str">
        <f t="shared" si="1"/>
        <v>Not Sure</v>
      </c>
      <c r="C58" s="4" t="s">
        <v>116</v>
      </c>
      <c r="H58" s="3"/>
      <c r="I58" s="3"/>
      <c r="J58" s="3"/>
      <c r="M58" s="3"/>
      <c r="N58" s="3"/>
      <c r="O58" s="3" t="s">
        <v>6</v>
      </c>
      <c r="P58" s="3" t="s">
        <v>117</v>
      </c>
    </row>
    <row r="59" spans="1:16" x14ac:dyDescent="0.35">
      <c r="A59" s="3" t="s">
        <v>290</v>
      </c>
      <c r="B59" s="3" t="str">
        <f t="shared" si="1"/>
        <v>Not Sure</v>
      </c>
      <c r="C59" s="4" t="s">
        <v>103</v>
      </c>
      <c r="H59" s="3"/>
      <c r="I59" s="3"/>
      <c r="J59" s="3"/>
      <c r="M59" s="3"/>
      <c r="N59" s="3"/>
      <c r="O59" s="3" t="s">
        <v>6</v>
      </c>
      <c r="P59" s="3" t="s">
        <v>118</v>
      </c>
    </row>
    <row r="60" spans="1:16" x14ac:dyDescent="0.35">
      <c r="A60" s="3" t="s">
        <v>291</v>
      </c>
      <c r="B60" s="3" t="str">
        <f t="shared" si="1"/>
        <v>Not Sure</v>
      </c>
      <c r="C60" s="4" t="s">
        <v>119</v>
      </c>
      <c r="H60" s="3"/>
      <c r="I60" s="3"/>
      <c r="J60" s="3"/>
      <c r="M60" s="3"/>
      <c r="N60" s="3"/>
      <c r="O60" s="3" t="s">
        <v>6</v>
      </c>
      <c r="P60" s="3" t="s">
        <v>120</v>
      </c>
    </row>
    <row r="61" spans="1:16" x14ac:dyDescent="0.35">
      <c r="A61" s="3" t="s">
        <v>292</v>
      </c>
      <c r="B61" s="3" t="str">
        <f t="shared" si="1"/>
        <v>OOS</v>
      </c>
      <c r="C61" s="4" t="s">
        <v>121</v>
      </c>
      <c r="H61" s="3"/>
      <c r="I61" s="3"/>
      <c r="J61" s="3"/>
      <c r="M61" s="3"/>
      <c r="N61" s="3"/>
      <c r="O61" s="3" t="s">
        <v>6</v>
      </c>
      <c r="P61" s="3" t="s">
        <v>122</v>
      </c>
    </row>
    <row r="62" spans="1:16" x14ac:dyDescent="0.35">
      <c r="A62" s="3" t="s">
        <v>293</v>
      </c>
      <c r="B62" s="3" t="str">
        <f t="shared" si="1"/>
        <v>OOS</v>
      </c>
      <c r="C62" s="4" t="s">
        <v>123</v>
      </c>
      <c r="H62" s="3"/>
      <c r="I62" s="3"/>
      <c r="J62" s="3"/>
      <c r="M62" s="3"/>
      <c r="N62" s="3"/>
      <c r="O62" s="3" t="s">
        <v>6</v>
      </c>
      <c r="P62" s="3" t="s">
        <v>124</v>
      </c>
    </row>
    <row r="63" spans="1:16" x14ac:dyDescent="0.35">
      <c r="A63" s="3" t="s">
        <v>294</v>
      </c>
      <c r="B63" s="3" t="str">
        <f t="shared" si="1"/>
        <v>OOS</v>
      </c>
      <c r="C63" s="4" t="s">
        <v>125</v>
      </c>
      <c r="H63" s="3"/>
      <c r="I63" s="3"/>
      <c r="J63" s="3"/>
      <c r="M63" s="3"/>
      <c r="N63" s="3"/>
      <c r="O63" s="3" t="s">
        <v>6</v>
      </c>
      <c r="P63" s="3" t="s">
        <v>126</v>
      </c>
    </row>
    <row r="64" spans="1:16" x14ac:dyDescent="0.35">
      <c r="A64" s="3" t="s">
        <v>295</v>
      </c>
      <c r="B64" s="3" t="str">
        <f t="shared" si="1"/>
        <v>OOS</v>
      </c>
      <c r="C64" s="4" t="s">
        <v>127</v>
      </c>
      <c r="D64" s="3" t="s">
        <v>196</v>
      </c>
      <c r="H64" s="3" t="s">
        <v>190</v>
      </c>
      <c r="I64" s="3"/>
      <c r="J64" s="3"/>
      <c r="K64" s="4" t="s">
        <v>191</v>
      </c>
      <c r="M64" s="3"/>
      <c r="N64" s="3"/>
      <c r="O64" s="3" t="s">
        <v>6</v>
      </c>
      <c r="P64" s="3" t="s">
        <v>128</v>
      </c>
    </row>
    <row r="65" spans="1:17" x14ac:dyDescent="0.35">
      <c r="A65" s="3" t="s">
        <v>296</v>
      </c>
      <c r="B65" s="3" t="str">
        <f t="shared" ref="B65:B96" si="2">_xlfn.TEXTBEFORE(_xlfn.TEXTAFTER(A65,"[",-1),"]")</f>
        <v>OOS</v>
      </c>
      <c r="C65" s="4" t="s">
        <v>129</v>
      </c>
      <c r="H65" s="3"/>
      <c r="I65" s="3"/>
      <c r="J65" s="3"/>
      <c r="M65" s="3"/>
      <c r="N65" s="3"/>
      <c r="O65" s="3" t="s">
        <v>6</v>
      </c>
      <c r="P65" s="3" t="s">
        <v>130</v>
      </c>
    </row>
    <row r="66" spans="1:17" x14ac:dyDescent="0.35">
      <c r="A66" s="3" t="s">
        <v>297</v>
      </c>
      <c r="B66" s="3" t="str">
        <f t="shared" si="2"/>
        <v>RPTC</v>
      </c>
      <c r="C66" s="4" t="s">
        <v>131</v>
      </c>
      <c r="H66" s="3"/>
      <c r="I66" s="3"/>
      <c r="J66" s="3"/>
      <c r="M66" s="3"/>
      <c r="N66" s="3"/>
      <c r="O66" s="3" t="s">
        <v>6</v>
      </c>
      <c r="P66" s="3" t="s">
        <v>130</v>
      </c>
    </row>
    <row r="67" spans="1:17" ht="23.25" x14ac:dyDescent="0.35">
      <c r="A67" s="3" t="s">
        <v>298</v>
      </c>
      <c r="B67" s="3" t="str">
        <f t="shared" si="2"/>
        <v>RPTC</v>
      </c>
      <c r="C67" s="4" t="s">
        <v>132</v>
      </c>
      <c r="H67" s="3"/>
      <c r="I67" s="3"/>
      <c r="J67" s="3"/>
      <c r="M67" s="3"/>
      <c r="N67" s="3"/>
      <c r="O67" s="3" t="s">
        <v>6</v>
      </c>
      <c r="P67" s="3" t="s">
        <v>52</v>
      </c>
      <c r="Q67" s="3" t="s">
        <v>133</v>
      </c>
    </row>
    <row r="68" spans="1:17" ht="23.25" x14ac:dyDescent="0.35">
      <c r="A68" s="3" t="s">
        <v>299</v>
      </c>
      <c r="B68" s="3" t="str">
        <f t="shared" si="2"/>
        <v>RPTC</v>
      </c>
      <c r="C68" s="4" t="s">
        <v>134</v>
      </c>
      <c r="H68" s="3"/>
      <c r="I68" s="3"/>
      <c r="J68" s="3"/>
      <c r="M68" s="3"/>
      <c r="N68" s="3"/>
      <c r="O68" s="3" t="s">
        <v>6</v>
      </c>
      <c r="P68" s="3" t="s">
        <v>52</v>
      </c>
      <c r="Q68" s="3" t="s">
        <v>133</v>
      </c>
    </row>
    <row r="69" spans="1:17" ht="34.9" x14ac:dyDescent="0.35">
      <c r="A69" s="3" t="s">
        <v>300</v>
      </c>
      <c r="B69" s="3" t="str">
        <f t="shared" si="2"/>
        <v>RPTC</v>
      </c>
      <c r="C69" s="4" t="s">
        <v>135</v>
      </c>
      <c r="H69" s="3"/>
      <c r="I69" s="3"/>
      <c r="J69" s="3"/>
      <c r="M69" s="3"/>
      <c r="N69" s="3"/>
      <c r="O69" s="3" t="s">
        <v>6</v>
      </c>
      <c r="P69" s="3" t="s">
        <v>52</v>
      </c>
      <c r="Q69" s="3" t="s">
        <v>133</v>
      </c>
    </row>
    <row r="70" spans="1:17" ht="23.25" x14ac:dyDescent="0.35">
      <c r="A70" s="3" t="s">
        <v>301</v>
      </c>
      <c r="B70" s="3" t="str">
        <f t="shared" si="2"/>
        <v>RPTC</v>
      </c>
      <c r="C70" s="4" t="s">
        <v>136</v>
      </c>
      <c r="H70" s="3"/>
      <c r="I70" s="3"/>
      <c r="J70" s="3"/>
      <c r="M70" s="3"/>
      <c r="N70" s="3"/>
      <c r="O70" s="3" t="s">
        <v>6</v>
      </c>
      <c r="P70" s="3" t="s">
        <v>52</v>
      </c>
      <c r="Q70" s="3" t="s">
        <v>133</v>
      </c>
    </row>
    <row r="71" spans="1:17" ht="23.25" x14ac:dyDescent="0.35">
      <c r="A71" s="3" t="s">
        <v>302</v>
      </c>
      <c r="B71" s="3" t="str">
        <f t="shared" si="2"/>
        <v>RPTC</v>
      </c>
      <c r="C71" s="4" t="s">
        <v>137</v>
      </c>
      <c r="H71" s="3"/>
      <c r="I71" s="3"/>
      <c r="J71" s="3"/>
      <c r="M71" s="3"/>
      <c r="N71" s="3"/>
      <c r="O71" s="3" t="s">
        <v>6</v>
      </c>
      <c r="P71" s="3" t="s">
        <v>52</v>
      </c>
      <c r="Q71" s="3" t="s">
        <v>133</v>
      </c>
    </row>
    <row r="72" spans="1:17" ht="34.9" x14ac:dyDescent="0.35">
      <c r="A72" s="3" t="s">
        <v>303</v>
      </c>
      <c r="B72" s="3" t="str">
        <f t="shared" si="2"/>
        <v>RPTC</v>
      </c>
      <c r="C72" s="4" t="s">
        <v>138</v>
      </c>
      <c r="H72" s="3"/>
      <c r="I72" s="3"/>
      <c r="J72" s="3"/>
      <c r="M72" s="3"/>
      <c r="N72" s="3"/>
      <c r="O72" s="3" t="s">
        <v>6</v>
      </c>
      <c r="P72" s="3" t="s">
        <v>139</v>
      </c>
      <c r="Q72" s="3" t="s">
        <v>133</v>
      </c>
    </row>
    <row r="73" spans="1:17" ht="34.9" x14ac:dyDescent="0.35">
      <c r="A73" s="3" t="s">
        <v>304</v>
      </c>
      <c r="B73" s="3" t="str">
        <f t="shared" si="2"/>
        <v>RPTC</v>
      </c>
      <c r="C73" s="4" t="s">
        <v>140</v>
      </c>
      <c r="H73" s="3"/>
      <c r="I73" s="3"/>
      <c r="J73" s="3"/>
      <c r="M73" s="3"/>
      <c r="N73" s="3"/>
      <c r="O73" s="3" t="s">
        <v>6</v>
      </c>
      <c r="P73" s="3" t="s">
        <v>139</v>
      </c>
      <c r="Q73" s="3" t="s">
        <v>133</v>
      </c>
    </row>
    <row r="74" spans="1:17" ht="23.25" x14ac:dyDescent="0.35">
      <c r="A74" s="3" t="s">
        <v>305</v>
      </c>
      <c r="B74" s="3" t="str">
        <f t="shared" si="2"/>
        <v>RPTC</v>
      </c>
      <c r="C74" s="4" t="s">
        <v>141</v>
      </c>
      <c r="H74" s="3"/>
      <c r="I74" s="3"/>
      <c r="J74" s="3"/>
      <c r="M74" s="3"/>
      <c r="N74" s="3"/>
      <c r="O74" s="3" t="s">
        <v>6</v>
      </c>
      <c r="P74" s="3" t="s">
        <v>139</v>
      </c>
      <c r="Q74" s="3" t="s">
        <v>133</v>
      </c>
    </row>
    <row r="75" spans="1:17" ht="34.9" x14ac:dyDescent="0.35">
      <c r="A75" s="3" t="s">
        <v>306</v>
      </c>
      <c r="B75" s="3" t="str">
        <f t="shared" si="2"/>
        <v>RPTC</v>
      </c>
      <c r="C75" s="4" t="s">
        <v>142</v>
      </c>
      <c r="H75" s="3"/>
      <c r="I75" s="3"/>
      <c r="J75" s="3"/>
      <c r="M75" s="3"/>
      <c r="N75" s="3"/>
      <c r="O75" s="3" t="s">
        <v>6</v>
      </c>
      <c r="P75" s="3" t="s">
        <v>139</v>
      </c>
      <c r="Q75" s="3" t="s">
        <v>133</v>
      </c>
    </row>
    <row r="76" spans="1:17" ht="34.9" x14ac:dyDescent="0.35">
      <c r="A76" s="3" t="s">
        <v>307</v>
      </c>
      <c r="B76" s="3" t="str">
        <f t="shared" si="2"/>
        <v>RPTC</v>
      </c>
      <c r="C76" s="4" t="s">
        <v>143</v>
      </c>
      <c r="H76" s="3"/>
      <c r="I76" s="3"/>
      <c r="J76" s="3"/>
      <c r="M76" s="3"/>
      <c r="N76" s="3"/>
      <c r="O76" s="3" t="s">
        <v>6</v>
      </c>
      <c r="P76" s="3" t="s">
        <v>139</v>
      </c>
      <c r="Q76" s="3" t="s">
        <v>133</v>
      </c>
    </row>
    <row r="77" spans="1:17" ht="23.25" x14ac:dyDescent="0.35">
      <c r="A77" s="3" t="s">
        <v>308</v>
      </c>
      <c r="B77" s="3" t="str">
        <f t="shared" si="2"/>
        <v>PD</v>
      </c>
      <c r="C77" s="4" t="s">
        <v>144</v>
      </c>
      <c r="H77" s="3"/>
      <c r="I77" s="3"/>
      <c r="J77" s="3"/>
      <c r="M77" s="3"/>
      <c r="N77" s="3"/>
      <c r="O77" s="3" t="s">
        <v>6</v>
      </c>
      <c r="P77" s="3" t="s">
        <v>145</v>
      </c>
      <c r="Q77" s="3" t="s">
        <v>146</v>
      </c>
    </row>
    <row r="78" spans="1:17" ht="23.25" x14ac:dyDescent="0.35">
      <c r="A78" s="3" t="s">
        <v>309</v>
      </c>
      <c r="B78" s="3" t="str">
        <f t="shared" si="2"/>
        <v>PD</v>
      </c>
      <c r="C78" s="4" t="s">
        <v>147</v>
      </c>
      <c r="H78" s="3"/>
      <c r="I78" s="3"/>
      <c r="J78" s="3"/>
      <c r="M78" s="3"/>
      <c r="N78" s="3"/>
      <c r="O78" s="3" t="s">
        <v>6</v>
      </c>
      <c r="P78" s="3" t="s">
        <v>145</v>
      </c>
      <c r="Q78" s="3" t="s">
        <v>146</v>
      </c>
    </row>
    <row r="79" spans="1:17" ht="23.25" x14ac:dyDescent="0.35">
      <c r="A79" s="3" t="s">
        <v>310</v>
      </c>
      <c r="B79" s="3" t="str">
        <f t="shared" si="2"/>
        <v>PD</v>
      </c>
      <c r="C79" s="4" t="s">
        <v>148</v>
      </c>
      <c r="H79" s="3"/>
      <c r="I79" s="3"/>
      <c r="J79" s="3"/>
      <c r="M79" s="3"/>
      <c r="N79" s="3"/>
      <c r="O79" s="3" t="s">
        <v>6</v>
      </c>
      <c r="P79" s="3" t="s">
        <v>145</v>
      </c>
      <c r="Q79" s="3" t="s">
        <v>146</v>
      </c>
    </row>
    <row r="80" spans="1:17" x14ac:dyDescent="0.35">
      <c r="A80" s="3" t="s">
        <v>311</v>
      </c>
      <c r="B80" s="3" t="str">
        <f t="shared" si="2"/>
        <v>PD</v>
      </c>
      <c r="C80" s="4" t="s">
        <v>149</v>
      </c>
      <c r="H80" s="3"/>
      <c r="I80" s="3"/>
      <c r="J80" s="3"/>
      <c r="M80" s="3"/>
      <c r="N80" s="3"/>
      <c r="O80" s="3" t="s">
        <v>6</v>
      </c>
      <c r="P80" s="3" t="s">
        <v>150</v>
      </c>
      <c r="Q80" s="3" t="s">
        <v>146</v>
      </c>
    </row>
    <row r="81" spans="1:17" ht="23.25" x14ac:dyDescent="0.35">
      <c r="A81" s="3" t="s">
        <v>312</v>
      </c>
      <c r="B81" s="3" t="str">
        <f t="shared" si="2"/>
        <v>Not Sure</v>
      </c>
      <c r="C81" s="4" t="s">
        <v>151</v>
      </c>
      <c r="H81" s="3"/>
      <c r="I81" s="3"/>
      <c r="J81" s="3"/>
      <c r="M81" s="3"/>
      <c r="N81" s="3"/>
      <c r="O81" s="3" t="s">
        <v>6</v>
      </c>
      <c r="P81" s="3" t="s">
        <v>150</v>
      </c>
      <c r="Q81" s="3" t="s">
        <v>146</v>
      </c>
    </row>
    <row r="82" spans="1:17" ht="23.25" x14ac:dyDescent="0.35">
      <c r="A82" s="3" t="s">
        <v>313</v>
      </c>
      <c r="B82" s="3" t="str">
        <f t="shared" si="2"/>
        <v>About Cidy</v>
      </c>
      <c r="C82" s="4" t="s">
        <v>152</v>
      </c>
      <c r="H82" s="3"/>
      <c r="I82" s="3"/>
      <c r="J82" s="3"/>
      <c r="M82" s="3"/>
      <c r="N82" s="3"/>
      <c r="O82" s="3" t="s">
        <v>79</v>
      </c>
      <c r="P82" s="3" t="s">
        <v>153</v>
      </c>
      <c r="Q82" s="3" t="s">
        <v>146</v>
      </c>
    </row>
    <row r="83" spans="1:17" ht="23.25" x14ac:dyDescent="0.35">
      <c r="A83" s="3" t="s">
        <v>314</v>
      </c>
      <c r="B83" s="3" t="str">
        <f t="shared" si="2"/>
        <v>About Cidy</v>
      </c>
      <c r="C83" s="4" t="s">
        <v>154</v>
      </c>
      <c r="H83" s="3"/>
      <c r="I83" s="3"/>
      <c r="J83" s="3"/>
      <c r="M83" s="3"/>
      <c r="N83" s="3"/>
      <c r="O83" s="3" t="s">
        <v>6</v>
      </c>
      <c r="P83" s="3" t="s">
        <v>155</v>
      </c>
      <c r="Q83" s="3" t="s">
        <v>146</v>
      </c>
    </row>
    <row r="84" spans="1:17" ht="23.25" x14ac:dyDescent="0.35">
      <c r="A84" s="3" t="s">
        <v>267</v>
      </c>
      <c r="B84" s="3" t="str">
        <f t="shared" si="2"/>
        <v>About Cidy</v>
      </c>
      <c r="C84" s="4" t="s">
        <v>156</v>
      </c>
      <c r="H84" s="3"/>
      <c r="I84" s="3"/>
      <c r="J84" s="3"/>
      <c r="M84" s="3"/>
      <c r="N84" s="3"/>
      <c r="O84" s="3" t="s">
        <v>6</v>
      </c>
      <c r="P84" s="3" t="s">
        <v>157</v>
      </c>
      <c r="Q84" s="3" t="s">
        <v>146</v>
      </c>
    </row>
    <row r="85" spans="1:17" ht="23.25" x14ac:dyDescent="0.35">
      <c r="A85" s="3" t="s">
        <v>315</v>
      </c>
      <c r="B85" s="3" t="str">
        <f t="shared" si="2"/>
        <v>About Cidy</v>
      </c>
      <c r="C85" s="4" t="s">
        <v>158</v>
      </c>
      <c r="H85" s="3"/>
      <c r="I85" s="3"/>
      <c r="J85" s="3"/>
      <c r="M85" s="3"/>
      <c r="N85" s="3"/>
      <c r="O85" s="3" t="s">
        <v>6</v>
      </c>
      <c r="P85" s="3" t="s">
        <v>157</v>
      </c>
      <c r="Q85" s="3" t="s">
        <v>146</v>
      </c>
    </row>
    <row r="86" spans="1:17" ht="34.9" x14ac:dyDescent="0.35">
      <c r="A86" s="3" t="s">
        <v>316</v>
      </c>
      <c r="B86" s="3" t="str">
        <f t="shared" si="2"/>
        <v>About Cidy</v>
      </c>
      <c r="C86" s="4" t="s">
        <v>159</v>
      </c>
      <c r="H86" s="3"/>
      <c r="I86" s="3"/>
      <c r="J86" s="3"/>
      <c r="M86" s="3"/>
      <c r="N86" s="3"/>
      <c r="O86" s="3" t="s">
        <v>6</v>
      </c>
      <c r="P86" s="3" t="s">
        <v>157</v>
      </c>
      <c r="Q86" s="3" t="s">
        <v>146</v>
      </c>
    </row>
    <row r="87" spans="1:17" ht="23.25" x14ac:dyDescent="0.35">
      <c r="A87" s="3" t="s">
        <v>317</v>
      </c>
      <c r="B87" s="3" t="str">
        <f t="shared" si="2"/>
        <v>About Cidy</v>
      </c>
      <c r="C87" s="4" t="s">
        <v>160</v>
      </c>
      <c r="H87" s="3"/>
      <c r="I87" s="3"/>
      <c r="J87" s="3"/>
      <c r="M87" s="3"/>
      <c r="N87" s="3"/>
      <c r="O87" s="3" t="s">
        <v>6</v>
      </c>
      <c r="P87" s="3" t="s">
        <v>157</v>
      </c>
      <c r="Q87" s="3" t="s">
        <v>146</v>
      </c>
    </row>
    <row r="88" spans="1:17" ht="23.25" x14ac:dyDescent="0.35">
      <c r="A88" s="3" t="s">
        <v>318</v>
      </c>
      <c r="B88" s="3" t="str">
        <f t="shared" si="2"/>
        <v>About Cidy</v>
      </c>
      <c r="C88" s="4" t="s">
        <v>161</v>
      </c>
      <c r="H88" s="3"/>
      <c r="I88" s="3"/>
      <c r="J88" s="3"/>
      <c r="M88" s="3"/>
      <c r="N88" s="3"/>
      <c r="O88" s="3" t="s">
        <v>6</v>
      </c>
      <c r="P88" s="3" t="s">
        <v>157</v>
      </c>
      <c r="Q88" s="3" t="s">
        <v>146</v>
      </c>
    </row>
    <row r="89" spans="1:17" ht="23.25" x14ac:dyDescent="0.35">
      <c r="A89" s="3" t="s">
        <v>319</v>
      </c>
      <c r="B89" s="3" t="str">
        <f t="shared" si="2"/>
        <v>About Cidy</v>
      </c>
      <c r="C89" s="4" t="s">
        <v>162</v>
      </c>
      <c r="H89" s="3"/>
      <c r="I89" s="3"/>
      <c r="J89" s="3"/>
      <c r="M89" s="3"/>
      <c r="N89" s="3"/>
      <c r="O89" s="3" t="s">
        <v>6</v>
      </c>
      <c r="P89" s="3" t="s">
        <v>157</v>
      </c>
      <c r="Q89" s="3" t="s">
        <v>146</v>
      </c>
    </row>
    <row r="90" spans="1:17" ht="23.25" x14ac:dyDescent="0.35">
      <c r="A90" s="3" t="s">
        <v>320</v>
      </c>
      <c r="B90" s="3" t="str">
        <f t="shared" si="2"/>
        <v>Greeting</v>
      </c>
      <c r="C90" s="4" t="s">
        <v>163</v>
      </c>
      <c r="H90" s="3"/>
      <c r="I90" s="3"/>
      <c r="J90" s="3"/>
      <c r="M90" s="3"/>
      <c r="N90" s="3"/>
      <c r="O90" s="3" t="s">
        <v>6</v>
      </c>
      <c r="P90" s="3" t="s">
        <v>157</v>
      </c>
      <c r="Q90" s="3" t="s">
        <v>146</v>
      </c>
    </row>
    <row r="91" spans="1:17" x14ac:dyDescent="0.35">
      <c r="A91" s="3" t="s">
        <v>321</v>
      </c>
      <c r="B91" s="3" t="str">
        <f t="shared" si="2"/>
        <v>Greeting</v>
      </c>
      <c r="C91" s="4" t="s">
        <v>164</v>
      </c>
      <c r="H91" s="3"/>
      <c r="I91" s="3"/>
      <c r="J91" s="3"/>
      <c r="M91" s="3"/>
      <c r="N91" s="3"/>
      <c r="O91" s="3" t="s">
        <v>6</v>
      </c>
      <c r="P91" s="3" t="s">
        <v>165</v>
      </c>
      <c r="Q91" s="3" t="s">
        <v>166</v>
      </c>
    </row>
    <row r="92" spans="1:17" x14ac:dyDescent="0.35">
      <c r="A92" s="3" t="s">
        <v>322</v>
      </c>
      <c r="B92" s="3" t="str">
        <f t="shared" si="2"/>
        <v>Greeting</v>
      </c>
      <c r="C92" s="4" t="s">
        <v>167</v>
      </c>
      <c r="H92" s="3"/>
      <c r="I92" s="3"/>
      <c r="J92" s="3"/>
      <c r="M92" s="3"/>
      <c r="N92" s="3"/>
      <c r="O92" s="3" t="s">
        <v>6</v>
      </c>
      <c r="P92" s="3" t="s">
        <v>165</v>
      </c>
      <c r="Q92" s="3" t="s">
        <v>166</v>
      </c>
    </row>
    <row r="93" spans="1:17" ht="23.25" x14ac:dyDescent="0.35">
      <c r="A93" s="3" t="s">
        <v>323</v>
      </c>
      <c r="B93" s="3" t="str">
        <f t="shared" si="2"/>
        <v>Exit Flow</v>
      </c>
      <c r="C93" s="4" t="s">
        <v>168</v>
      </c>
      <c r="H93" s="3"/>
      <c r="I93" s="3"/>
      <c r="J93" s="3"/>
      <c r="M93" s="3"/>
      <c r="N93" s="3"/>
      <c r="O93" s="3" t="s">
        <v>6</v>
      </c>
      <c r="P93" s="3" t="s">
        <v>169</v>
      </c>
      <c r="Q93" s="3" t="s">
        <v>166</v>
      </c>
    </row>
    <row r="94" spans="1:17" x14ac:dyDescent="0.35">
      <c r="A94" s="3" t="s">
        <v>324</v>
      </c>
      <c r="B94" s="3" t="str">
        <f t="shared" si="2"/>
        <v>Exit Flow</v>
      </c>
      <c r="C94" s="4" t="s">
        <v>170</v>
      </c>
      <c r="H94" s="3"/>
      <c r="I94" s="3"/>
      <c r="J94" s="3"/>
      <c r="M94" s="3"/>
      <c r="N94" s="3"/>
      <c r="O94" s="3" t="s">
        <v>6</v>
      </c>
      <c r="P94" s="3" t="s">
        <v>171</v>
      </c>
      <c r="Q94" s="3" t="s">
        <v>172</v>
      </c>
    </row>
    <row r="95" spans="1:17" x14ac:dyDescent="0.35">
      <c r="A95" s="3" t="s">
        <v>325</v>
      </c>
      <c r="B95" s="3" t="str">
        <f t="shared" si="2"/>
        <v>Exit Flow</v>
      </c>
      <c r="C95" s="4" t="s">
        <v>173</v>
      </c>
      <c r="H95" s="3"/>
      <c r="I95" s="3"/>
      <c r="J95" s="3"/>
      <c r="M95" s="3"/>
      <c r="N95" s="3"/>
      <c r="O95" s="3" t="s">
        <v>6</v>
      </c>
      <c r="P95" s="3" t="s">
        <v>174</v>
      </c>
      <c r="Q95" s="3" t="s">
        <v>172</v>
      </c>
    </row>
    <row r="96" spans="1:17" x14ac:dyDescent="0.35">
      <c r="A96" s="3" t="s">
        <v>326</v>
      </c>
      <c r="B96" s="3" t="str">
        <f t="shared" si="2"/>
        <v>Country Data</v>
      </c>
      <c r="C96" s="4" t="s">
        <v>175</v>
      </c>
      <c r="H96" s="3"/>
      <c r="I96" s="3"/>
      <c r="J96" s="3"/>
      <c r="M96" s="3"/>
      <c r="N96" s="3"/>
      <c r="O96" s="3" t="s">
        <v>6</v>
      </c>
      <c r="P96" s="3" t="s">
        <v>176</v>
      </c>
      <c r="Q96" s="3" t="s">
        <v>166</v>
      </c>
    </row>
    <row r="97" spans="1:17" x14ac:dyDescent="0.35">
      <c r="A97" s="3" t="s">
        <v>327</v>
      </c>
      <c r="B97" s="3" t="str">
        <f t="shared" ref="B97:B100" si="3">_xlfn.TEXTBEFORE(_xlfn.TEXTAFTER(A97,"[",-1),"]")</f>
        <v>Country Data</v>
      </c>
      <c r="C97" s="4" t="s">
        <v>177</v>
      </c>
      <c r="H97" s="3"/>
      <c r="I97" s="3"/>
      <c r="J97" s="3"/>
      <c r="M97" s="3"/>
      <c r="N97" s="3"/>
      <c r="O97" s="3" t="s">
        <v>6</v>
      </c>
      <c r="P97" s="3" t="s">
        <v>178</v>
      </c>
      <c r="Q97" s="3" t="s">
        <v>179</v>
      </c>
    </row>
    <row r="98" spans="1:17" x14ac:dyDescent="0.35">
      <c r="A98" s="3" t="s">
        <v>328</v>
      </c>
      <c r="B98" s="3" t="str">
        <f t="shared" si="3"/>
        <v>Country Data</v>
      </c>
      <c r="C98" s="4" t="s">
        <v>180</v>
      </c>
      <c r="H98" s="3"/>
      <c r="I98" s="3"/>
      <c r="J98" s="3"/>
      <c r="M98" s="3"/>
      <c r="N98" s="3"/>
      <c r="O98" s="3" t="s">
        <v>6</v>
      </c>
      <c r="P98" s="3" t="s">
        <v>181</v>
      </c>
      <c r="Q98" s="3" t="s">
        <v>182</v>
      </c>
    </row>
    <row r="99" spans="1:17" x14ac:dyDescent="0.35">
      <c r="A99" s="3" t="s">
        <v>329</v>
      </c>
      <c r="B99" s="3" t="str">
        <f t="shared" si="3"/>
        <v>Country Data</v>
      </c>
      <c r="C99" s="4" t="s">
        <v>183</v>
      </c>
      <c r="H99" s="3"/>
      <c r="I99" s="3"/>
      <c r="J99" s="3"/>
      <c r="M99" s="3"/>
      <c r="N99" s="3"/>
      <c r="O99" s="3" t="s">
        <v>6</v>
      </c>
      <c r="P99" s="3" t="s">
        <v>184</v>
      </c>
      <c r="Q99" s="3" t="s">
        <v>179</v>
      </c>
    </row>
    <row r="100" spans="1:17" x14ac:dyDescent="0.35">
      <c r="B100" s="4" t="e">
        <f t="shared" si="3"/>
        <v>#VALUE!</v>
      </c>
      <c r="C100" s="4" t="s">
        <v>185</v>
      </c>
      <c r="H100" s="3"/>
      <c r="I100" s="3"/>
      <c r="J100" s="3"/>
      <c r="M100" s="3"/>
      <c r="N100" s="3"/>
      <c r="O100" s="3" t="s">
        <v>6</v>
      </c>
      <c r="P100" s="3" t="s">
        <v>186</v>
      </c>
      <c r="Q100" s="3" t="s">
        <v>179</v>
      </c>
    </row>
  </sheetData>
  <phoneticPr fontId="5" type="noConversion"/>
  <conditionalFormatting sqref="H1:J1048576 L1:L1048576">
    <cfRule type="containsText" dxfId="9" priority="1" operator="containsText" text="No">
      <formula>NOT(ISERROR(SEARCH("No",H1)))</formula>
    </cfRule>
    <cfRule type="containsText" dxfId="8" priority="2" operator="containsText" text="Yes">
      <formula>NOT(ISERROR(SEARCH("Yes",H1)))</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6A68E-AC40-4C8F-BF24-382CD1BB77EF}">
  <dimension ref="A1:P10"/>
  <sheetViews>
    <sheetView tabSelected="1" workbookViewId="0">
      <selection activeCell="A11" sqref="A11"/>
    </sheetView>
  </sheetViews>
  <sheetFormatPr defaultRowHeight="14.25" x14ac:dyDescent="0.45"/>
  <cols>
    <col min="1" max="1" width="20.46484375" customWidth="1"/>
    <col min="3" max="3" width="10.53125" customWidth="1"/>
    <col min="4" max="4" width="12.6640625" customWidth="1"/>
    <col min="5" max="5" width="13.796875" customWidth="1"/>
    <col min="6" max="6" width="32.59765625" customWidth="1"/>
    <col min="8" max="8" width="11.265625" customWidth="1"/>
    <col min="9" max="9" width="13.53125" customWidth="1"/>
    <col min="10" max="10" width="10.59765625" customWidth="1"/>
    <col min="11" max="11" width="13" customWidth="1"/>
    <col min="12" max="12" width="13.53125" customWidth="1"/>
  </cols>
  <sheetData>
    <row r="1" spans="1:16" x14ac:dyDescent="0.45">
      <c r="A1" s="7" t="s">
        <v>0</v>
      </c>
      <c r="B1" s="8" t="s">
        <v>330</v>
      </c>
      <c r="C1" s="8" t="s">
        <v>1</v>
      </c>
      <c r="D1" s="9" t="s">
        <v>187</v>
      </c>
      <c r="E1" s="9" t="s">
        <v>197</v>
      </c>
      <c r="F1" s="9" t="s">
        <v>354</v>
      </c>
      <c r="G1" s="9" t="s">
        <v>356</v>
      </c>
      <c r="H1" s="8" t="s">
        <v>352</v>
      </c>
      <c r="I1" s="8" t="s">
        <v>353</v>
      </c>
      <c r="J1" s="8" t="s">
        <v>232</v>
      </c>
      <c r="K1" s="8" t="s">
        <v>189</v>
      </c>
      <c r="L1" s="8" t="s">
        <v>195</v>
      </c>
      <c r="M1" s="8" t="s">
        <v>188</v>
      </c>
      <c r="N1" s="8" t="s">
        <v>192</v>
      </c>
      <c r="O1" s="9" t="s">
        <v>2</v>
      </c>
      <c r="P1" s="9" t="s">
        <v>3</v>
      </c>
    </row>
    <row r="2" spans="1:16" ht="19.5" customHeight="1" x14ac:dyDescent="0.45">
      <c r="A2" s="10" t="s">
        <v>233</v>
      </c>
      <c r="B2" s="11" t="str">
        <f t="shared" ref="B2:B10" si="0">_xlfn.TEXTBEFORE(_xlfn.TEXTAFTER(A2,"[",-1),"]")</f>
        <v>DA</v>
      </c>
      <c r="C2" s="13" t="s">
        <v>5</v>
      </c>
      <c r="D2" s="13" t="s">
        <v>371</v>
      </c>
      <c r="E2" s="11" t="s">
        <v>360</v>
      </c>
      <c r="F2" s="11" t="s">
        <v>370</v>
      </c>
      <c r="G2" s="11" t="s">
        <v>190</v>
      </c>
      <c r="H2" s="11" t="s">
        <v>190</v>
      </c>
      <c r="I2" s="11" t="s">
        <v>194</v>
      </c>
      <c r="J2" s="11"/>
      <c r="K2" s="12"/>
      <c r="L2" s="12" t="s">
        <v>190</v>
      </c>
      <c r="M2" s="14">
        <v>46196</v>
      </c>
      <c r="N2" s="14" t="s">
        <v>333</v>
      </c>
      <c r="O2" s="11" t="s">
        <v>360</v>
      </c>
      <c r="P2" s="11" t="s">
        <v>7</v>
      </c>
    </row>
    <row r="3" spans="1:16" ht="18" customHeight="1" x14ac:dyDescent="0.45">
      <c r="A3" s="15" t="s">
        <v>234</v>
      </c>
      <c r="B3" s="16" t="str">
        <f t="shared" si="0"/>
        <v>DA</v>
      </c>
      <c r="C3" s="18" t="s">
        <v>8</v>
      </c>
      <c r="D3" s="18" t="s">
        <v>200</v>
      </c>
      <c r="E3" s="16" t="s">
        <v>360</v>
      </c>
      <c r="F3" s="16" t="s">
        <v>370</v>
      </c>
      <c r="G3" s="22" t="s">
        <v>190</v>
      </c>
      <c r="H3" s="16" t="s">
        <v>194</v>
      </c>
      <c r="I3" s="16" t="s">
        <v>194</v>
      </c>
      <c r="J3" s="16"/>
      <c r="K3" s="17"/>
      <c r="L3" s="17" t="s">
        <v>200</v>
      </c>
      <c r="M3" s="21">
        <v>46196</v>
      </c>
      <c r="N3" s="19" t="s">
        <v>333</v>
      </c>
      <c r="O3" s="16" t="s">
        <v>360</v>
      </c>
      <c r="P3" s="16" t="s">
        <v>9</v>
      </c>
    </row>
    <row r="4" spans="1:16" ht="25.9" customHeight="1" x14ac:dyDescent="0.45">
      <c r="A4" s="10" t="s">
        <v>235</v>
      </c>
      <c r="B4" s="11" t="str">
        <f t="shared" si="0"/>
        <v>DA</v>
      </c>
      <c r="C4" s="13" t="s">
        <v>10</v>
      </c>
      <c r="D4" s="13" t="s">
        <v>372</v>
      </c>
      <c r="E4" s="13" t="s">
        <v>374</v>
      </c>
      <c r="F4" s="11" t="s">
        <v>373</v>
      </c>
      <c r="G4" s="11" t="s">
        <v>190</v>
      </c>
      <c r="H4" s="11" t="s">
        <v>190</v>
      </c>
      <c r="I4" s="11" t="s">
        <v>190</v>
      </c>
      <c r="J4" s="11"/>
      <c r="K4" s="12"/>
      <c r="L4" s="12" t="s">
        <v>190</v>
      </c>
      <c r="M4" s="14">
        <v>46196</v>
      </c>
      <c r="N4" s="14" t="s">
        <v>333</v>
      </c>
      <c r="O4" s="11" t="s">
        <v>360</v>
      </c>
      <c r="P4" s="11" t="s">
        <v>11</v>
      </c>
    </row>
    <row r="5" spans="1:16" ht="24.4" customHeight="1" x14ac:dyDescent="0.45">
      <c r="A5" s="15" t="s">
        <v>236</v>
      </c>
      <c r="B5" s="16" t="str">
        <f t="shared" si="0"/>
        <v>DA</v>
      </c>
      <c r="C5" s="18" t="s">
        <v>12</v>
      </c>
      <c r="D5" s="18" t="s">
        <v>375</v>
      </c>
      <c r="E5" s="16" t="s">
        <v>360</v>
      </c>
      <c r="F5" s="16" t="s">
        <v>370</v>
      </c>
      <c r="G5" s="22" t="s">
        <v>190</v>
      </c>
      <c r="H5" s="16" t="s">
        <v>190</v>
      </c>
      <c r="I5" s="16" t="s">
        <v>190</v>
      </c>
      <c r="J5" s="16"/>
      <c r="K5" s="17"/>
      <c r="L5" s="17" t="s">
        <v>190</v>
      </c>
      <c r="M5" s="21">
        <v>46196</v>
      </c>
      <c r="N5" s="19" t="s">
        <v>333</v>
      </c>
      <c r="O5" s="16" t="s">
        <v>360</v>
      </c>
      <c r="P5" s="16" t="s">
        <v>13</v>
      </c>
    </row>
    <row r="6" spans="1:16" ht="18" customHeight="1" x14ac:dyDescent="0.45">
      <c r="A6" s="10" t="s">
        <v>237</v>
      </c>
      <c r="B6" s="11" t="str">
        <f t="shared" si="0"/>
        <v>DA</v>
      </c>
      <c r="C6" s="13" t="s">
        <v>14</v>
      </c>
      <c r="D6" s="13" t="s">
        <v>377</v>
      </c>
      <c r="E6" s="11" t="s">
        <v>360</v>
      </c>
      <c r="F6" s="11" t="s">
        <v>376</v>
      </c>
      <c r="G6" s="11" t="s">
        <v>190</v>
      </c>
      <c r="H6" s="11" t="s">
        <v>194</v>
      </c>
      <c r="I6" s="11" t="s">
        <v>190</v>
      </c>
      <c r="J6" s="11"/>
      <c r="K6" s="12"/>
      <c r="L6" s="12" t="s">
        <v>190</v>
      </c>
      <c r="M6" s="14">
        <v>46196</v>
      </c>
      <c r="N6" s="14" t="s">
        <v>333</v>
      </c>
      <c r="O6" s="11" t="s">
        <v>360</v>
      </c>
      <c r="P6" s="11" t="s">
        <v>15</v>
      </c>
    </row>
    <row r="7" spans="1:16" ht="19.149999999999999" customHeight="1" x14ac:dyDescent="0.45">
      <c r="A7" s="15" t="s">
        <v>238</v>
      </c>
      <c r="B7" s="16" t="str">
        <f t="shared" si="0"/>
        <v>DA</v>
      </c>
      <c r="C7" s="18" t="s">
        <v>16</v>
      </c>
      <c r="D7" s="18" t="s">
        <v>379</v>
      </c>
      <c r="E7" s="16" t="s">
        <v>380</v>
      </c>
      <c r="F7" s="16" t="s">
        <v>378</v>
      </c>
      <c r="G7" s="22" t="s">
        <v>194</v>
      </c>
      <c r="H7" s="16" t="s">
        <v>190</v>
      </c>
      <c r="I7" s="16" t="s">
        <v>190</v>
      </c>
      <c r="J7" s="16"/>
      <c r="K7" s="17"/>
      <c r="L7" s="17" t="s">
        <v>190</v>
      </c>
      <c r="M7" s="21">
        <v>46196</v>
      </c>
      <c r="N7" s="19" t="s">
        <v>333</v>
      </c>
      <c r="O7" s="16" t="s">
        <v>360</v>
      </c>
      <c r="P7" s="16" t="s">
        <v>17</v>
      </c>
    </row>
    <row r="8" spans="1:16" ht="15.75" customHeight="1" x14ac:dyDescent="0.45">
      <c r="A8" s="10" t="s">
        <v>239</v>
      </c>
      <c r="B8" s="11" t="str">
        <f t="shared" si="0"/>
        <v>DA</v>
      </c>
      <c r="C8" s="13" t="s">
        <v>18</v>
      </c>
      <c r="D8" s="13" t="s">
        <v>381</v>
      </c>
      <c r="E8" s="11" t="s">
        <v>360</v>
      </c>
      <c r="F8" s="11" t="s">
        <v>370</v>
      </c>
      <c r="G8" s="11" t="s">
        <v>190</v>
      </c>
      <c r="H8" s="11" t="s">
        <v>190</v>
      </c>
      <c r="I8" s="11" t="s">
        <v>194</v>
      </c>
      <c r="J8" s="11"/>
      <c r="K8" s="12"/>
      <c r="L8" s="12" t="s">
        <v>190</v>
      </c>
      <c r="M8" s="14">
        <v>46196</v>
      </c>
      <c r="N8" s="14" t="s">
        <v>333</v>
      </c>
      <c r="O8" s="11" t="s">
        <v>360</v>
      </c>
      <c r="P8" s="11" t="s">
        <v>19</v>
      </c>
    </row>
    <row r="9" spans="1:16" ht="16.5" customHeight="1" x14ac:dyDescent="0.45">
      <c r="A9" s="15" t="s">
        <v>240</v>
      </c>
      <c r="B9" s="16" t="str">
        <f t="shared" si="0"/>
        <v>DA</v>
      </c>
      <c r="C9" s="18" t="s">
        <v>20</v>
      </c>
      <c r="D9" s="18" t="s">
        <v>382</v>
      </c>
      <c r="E9" s="16" t="s">
        <v>383</v>
      </c>
      <c r="F9" s="16" t="s">
        <v>370</v>
      </c>
      <c r="G9" s="22" t="s">
        <v>190</v>
      </c>
      <c r="H9" s="16" t="s">
        <v>190</v>
      </c>
      <c r="I9" s="16" t="s">
        <v>190</v>
      </c>
      <c r="J9" s="16"/>
      <c r="K9" s="17"/>
      <c r="L9" s="17" t="s">
        <v>190</v>
      </c>
      <c r="M9" s="21">
        <v>46196</v>
      </c>
      <c r="N9" s="19" t="s">
        <v>333</v>
      </c>
      <c r="O9" s="16" t="s">
        <v>360</v>
      </c>
      <c r="P9" s="16" t="s">
        <v>21</v>
      </c>
    </row>
    <row r="10" spans="1:16" ht="14.65" customHeight="1" x14ac:dyDescent="0.45">
      <c r="A10" s="10" t="s">
        <v>241</v>
      </c>
      <c r="B10" s="11" t="str">
        <f t="shared" si="0"/>
        <v>DA</v>
      </c>
      <c r="C10" s="13" t="s">
        <v>22</v>
      </c>
      <c r="D10" s="12" t="s">
        <v>384</v>
      </c>
      <c r="E10" s="13" t="s">
        <v>386</v>
      </c>
      <c r="F10" s="11" t="s">
        <v>387</v>
      </c>
      <c r="G10" s="11" t="s">
        <v>385</v>
      </c>
      <c r="H10" s="11" t="s">
        <v>190</v>
      </c>
      <c r="I10" s="11" t="s">
        <v>190</v>
      </c>
      <c r="J10" s="11"/>
      <c r="K10" s="12"/>
      <c r="L10" s="12" t="s">
        <v>190</v>
      </c>
      <c r="M10" s="14">
        <v>46196</v>
      </c>
      <c r="N10" s="14" t="s">
        <v>333</v>
      </c>
      <c r="O10" s="11" t="s">
        <v>360</v>
      </c>
      <c r="P10" s="11" t="s">
        <v>23</v>
      </c>
    </row>
  </sheetData>
  <conditionalFormatting sqref="H1:J10 L1:L10">
    <cfRule type="containsText" dxfId="1" priority="1" operator="containsText" text="No">
      <formula>NOT(ISERROR(SEARCH("No",H1)))</formula>
    </cfRule>
    <cfRule type="containsText" dxfId="0" priority="2" operator="containsText" text="Yes">
      <formula>NOT(ISERROR(SEARCH("Yes",H1)))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7468-4458-4EF4-A88E-A46BFCFEC4C6}">
  <dimension ref="A1:P10"/>
  <sheetViews>
    <sheetView workbookViewId="0">
      <selection activeCell="D15" sqref="D15"/>
    </sheetView>
  </sheetViews>
  <sheetFormatPr defaultRowHeight="14.25" x14ac:dyDescent="0.45"/>
  <cols>
    <col min="1" max="1" width="20.46484375" customWidth="1"/>
    <col min="3" max="3" width="10.53125" customWidth="1"/>
    <col min="4" max="4" width="12.6640625" customWidth="1"/>
    <col min="5" max="5" width="12.796875" customWidth="1"/>
    <col min="6" max="6" width="33.3984375" customWidth="1"/>
    <col min="8" max="8" width="11.265625" customWidth="1"/>
    <col min="9" max="9" width="13.53125" customWidth="1"/>
    <col min="10" max="10" width="10.59765625" customWidth="1"/>
    <col min="11" max="11" width="13" customWidth="1"/>
    <col min="12" max="12" width="13.53125" customWidth="1"/>
  </cols>
  <sheetData>
    <row r="1" spans="1:16" ht="24" x14ac:dyDescent="0.45">
      <c r="A1" s="7" t="s">
        <v>0</v>
      </c>
      <c r="B1" s="8" t="s">
        <v>330</v>
      </c>
      <c r="C1" s="8" t="s">
        <v>1</v>
      </c>
      <c r="D1" s="9" t="s">
        <v>187</v>
      </c>
      <c r="E1" s="9" t="s">
        <v>197</v>
      </c>
      <c r="F1" s="9" t="s">
        <v>367</v>
      </c>
      <c r="G1" s="9" t="s">
        <v>356</v>
      </c>
      <c r="H1" s="8" t="s">
        <v>352</v>
      </c>
      <c r="I1" s="8" t="s">
        <v>353</v>
      </c>
      <c r="J1" s="8" t="s">
        <v>232</v>
      </c>
      <c r="K1" s="8" t="s">
        <v>189</v>
      </c>
      <c r="L1" s="8" t="s">
        <v>195</v>
      </c>
      <c r="M1" s="8" t="s">
        <v>188</v>
      </c>
      <c r="N1" s="8" t="s">
        <v>192</v>
      </c>
      <c r="O1" s="9" t="s">
        <v>2</v>
      </c>
      <c r="P1" s="9" t="s">
        <v>3</v>
      </c>
    </row>
    <row r="2" spans="1:16" ht="19.5" customHeight="1" x14ac:dyDescent="0.45">
      <c r="A2" s="10" t="s">
        <v>233</v>
      </c>
      <c r="B2" s="11" t="str">
        <f t="shared" ref="B2:B10" si="0">_xlfn.TEXTBEFORE(_xlfn.TEXTAFTER(A2,"[",-1),"]")</f>
        <v>DA</v>
      </c>
      <c r="C2" s="13" t="s">
        <v>5</v>
      </c>
      <c r="D2" s="13" t="s">
        <v>200</v>
      </c>
      <c r="E2" s="11" t="s">
        <v>360</v>
      </c>
      <c r="F2" s="11" t="s">
        <v>368</v>
      </c>
      <c r="G2" s="11" t="s">
        <v>200</v>
      </c>
      <c r="H2" s="11" t="s">
        <v>194</v>
      </c>
      <c r="I2" s="11" t="s">
        <v>194</v>
      </c>
      <c r="J2" s="11"/>
      <c r="K2" s="12"/>
      <c r="L2" s="12" t="s">
        <v>200</v>
      </c>
      <c r="M2" s="14">
        <v>46196</v>
      </c>
      <c r="N2" s="14" t="s">
        <v>333</v>
      </c>
      <c r="O2" s="11" t="s">
        <v>360</v>
      </c>
      <c r="P2" s="11" t="s">
        <v>7</v>
      </c>
    </row>
    <row r="3" spans="1:16" ht="18" customHeight="1" x14ac:dyDescent="0.45">
      <c r="A3" s="15" t="s">
        <v>234</v>
      </c>
      <c r="B3" s="16" t="str">
        <f t="shared" si="0"/>
        <v>DA</v>
      </c>
      <c r="C3" s="18" t="s">
        <v>8</v>
      </c>
      <c r="D3" s="18" t="s">
        <v>200</v>
      </c>
      <c r="E3" s="16" t="s">
        <v>360</v>
      </c>
      <c r="F3" s="16" t="s">
        <v>368</v>
      </c>
      <c r="G3" s="22" t="s">
        <v>200</v>
      </c>
      <c r="H3" s="16" t="s">
        <v>194</v>
      </c>
      <c r="I3" s="16" t="s">
        <v>194</v>
      </c>
      <c r="J3" s="16"/>
      <c r="K3" s="17"/>
      <c r="L3" s="17" t="s">
        <v>200</v>
      </c>
      <c r="M3" s="21">
        <v>46196</v>
      </c>
      <c r="N3" s="19" t="s">
        <v>333</v>
      </c>
      <c r="O3" s="16" t="s">
        <v>360</v>
      </c>
      <c r="P3" s="16" t="s">
        <v>9</v>
      </c>
    </row>
    <row r="4" spans="1:16" ht="25.9" customHeight="1" x14ac:dyDescent="0.45">
      <c r="A4" s="10" t="s">
        <v>235</v>
      </c>
      <c r="B4" s="11" t="str">
        <f t="shared" si="0"/>
        <v>DA</v>
      </c>
      <c r="C4" s="13" t="s">
        <v>10</v>
      </c>
      <c r="D4" s="11" t="s">
        <v>200</v>
      </c>
      <c r="E4" s="11" t="s">
        <v>360</v>
      </c>
      <c r="F4" s="11" t="s">
        <v>368</v>
      </c>
      <c r="G4" s="11" t="s">
        <v>200</v>
      </c>
      <c r="H4" s="11" t="s">
        <v>194</v>
      </c>
      <c r="I4" s="11" t="s">
        <v>194</v>
      </c>
      <c r="J4" s="11"/>
      <c r="K4" s="12"/>
      <c r="L4" s="12" t="s">
        <v>200</v>
      </c>
      <c r="M4" s="14">
        <v>46196</v>
      </c>
      <c r="N4" s="14" t="s">
        <v>333</v>
      </c>
      <c r="O4" s="11" t="s">
        <v>360</v>
      </c>
      <c r="P4" s="11" t="s">
        <v>11</v>
      </c>
    </row>
    <row r="5" spans="1:16" ht="24.4" customHeight="1" x14ac:dyDescent="0.45">
      <c r="A5" s="15" t="s">
        <v>236</v>
      </c>
      <c r="B5" s="16" t="str">
        <f t="shared" si="0"/>
        <v>DA</v>
      </c>
      <c r="C5" s="18" t="s">
        <v>12</v>
      </c>
      <c r="D5" s="18" t="s">
        <v>369</v>
      </c>
      <c r="E5" s="16" t="s">
        <v>360</v>
      </c>
      <c r="F5" s="16" t="s">
        <v>368</v>
      </c>
      <c r="G5" s="22" t="s">
        <v>200</v>
      </c>
      <c r="H5" s="16" t="s">
        <v>190</v>
      </c>
      <c r="I5" s="16" t="s">
        <v>194</v>
      </c>
      <c r="J5" s="16"/>
      <c r="K5" s="17"/>
      <c r="L5" s="17" t="s">
        <v>190</v>
      </c>
      <c r="M5" s="21">
        <v>46196</v>
      </c>
      <c r="N5" s="19" t="s">
        <v>333</v>
      </c>
      <c r="O5" s="16" t="s">
        <v>360</v>
      </c>
      <c r="P5" s="16" t="s">
        <v>13</v>
      </c>
    </row>
    <row r="6" spans="1:16" ht="18" customHeight="1" x14ac:dyDescent="0.45">
      <c r="A6" s="10" t="s">
        <v>237</v>
      </c>
      <c r="B6" s="11" t="str">
        <f t="shared" si="0"/>
        <v>DA</v>
      </c>
      <c r="C6" s="13" t="s">
        <v>14</v>
      </c>
      <c r="D6" s="13" t="s">
        <v>200</v>
      </c>
      <c r="E6" s="11" t="s">
        <v>360</v>
      </c>
      <c r="F6" s="11" t="s">
        <v>368</v>
      </c>
      <c r="G6" s="11" t="s">
        <v>200</v>
      </c>
      <c r="H6" s="11" t="s">
        <v>194</v>
      </c>
      <c r="I6" s="11" t="s">
        <v>194</v>
      </c>
      <c r="J6" s="11"/>
      <c r="K6" s="12"/>
      <c r="L6" s="12" t="s">
        <v>200</v>
      </c>
      <c r="M6" s="14">
        <v>46196</v>
      </c>
      <c r="N6" s="14" t="s">
        <v>333</v>
      </c>
      <c r="O6" s="11" t="s">
        <v>360</v>
      </c>
      <c r="P6" s="11" t="s">
        <v>15</v>
      </c>
    </row>
    <row r="7" spans="1:16" ht="19.149999999999999" customHeight="1" x14ac:dyDescent="0.45">
      <c r="A7" s="15" t="s">
        <v>238</v>
      </c>
      <c r="B7" s="16" t="str">
        <f t="shared" si="0"/>
        <v>DA</v>
      </c>
      <c r="C7" s="18" t="s">
        <v>16</v>
      </c>
      <c r="D7" s="18" t="s">
        <v>200</v>
      </c>
      <c r="E7" s="16" t="s">
        <v>360</v>
      </c>
      <c r="F7" s="16" t="s">
        <v>368</v>
      </c>
      <c r="G7" s="22" t="s">
        <v>200</v>
      </c>
      <c r="H7" s="16" t="s">
        <v>194</v>
      </c>
      <c r="I7" s="16" t="s">
        <v>194</v>
      </c>
      <c r="J7" s="16"/>
      <c r="K7" s="17"/>
      <c r="L7" s="17" t="s">
        <v>200</v>
      </c>
      <c r="M7" s="21">
        <v>46196</v>
      </c>
      <c r="N7" s="19" t="s">
        <v>333</v>
      </c>
      <c r="O7" s="16" t="s">
        <v>360</v>
      </c>
      <c r="P7" s="16" t="s">
        <v>17</v>
      </c>
    </row>
    <row r="8" spans="1:16" ht="15.75" customHeight="1" x14ac:dyDescent="0.45">
      <c r="A8" s="10" t="s">
        <v>239</v>
      </c>
      <c r="B8" s="11" t="str">
        <f t="shared" si="0"/>
        <v>DA</v>
      </c>
      <c r="C8" s="13" t="s">
        <v>18</v>
      </c>
      <c r="D8" s="11" t="s">
        <v>200</v>
      </c>
      <c r="E8" s="11" t="s">
        <v>360</v>
      </c>
      <c r="F8" s="11" t="s">
        <v>368</v>
      </c>
      <c r="G8" s="11" t="s">
        <v>200</v>
      </c>
      <c r="H8" s="11" t="s">
        <v>194</v>
      </c>
      <c r="I8" s="11" t="s">
        <v>194</v>
      </c>
      <c r="J8" s="11"/>
      <c r="K8" s="12"/>
      <c r="L8" s="12" t="s">
        <v>200</v>
      </c>
      <c r="M8" s="14">
        <v>46196</v>
      </c>
      <c r="N8" s="14" t="s">
        <v>333</v>
      </c>
      <c r="O8" s="11" t="s">
        <v>360</v>
      </c>
      <c r="P8" s="11" t="s">
        <v>19</v>
      </c>
    </row>
    <row r="9" spans="1:16" ht="16.5" customHeight="1" x14ac:dyDescent="0.45">
      <c r="A9" s="15" t="s">
        <v>240</v>
      </c>
      <c r="B9" s="16" t="str">
        <f t="shared" si="0"/>
        <v>DA</v>
      </c>
      <c r="C9" s="18" t="s">
        <v>20</v>
      </c>
      <c r="D9" s="18" t="s">
        <v>200</v>
      </c>
      <c r="E9" s="16" t="s">
        <v>360</v>
      </c>
      <c r="F9" s="16" t="s">
        <v>368</v>
      </c>
      <c r="G9" s="22" t="s">
        <v>200</v>
      </c>
      <c r="H9" s="16" t="s">
        <v>194</v>
      </c>
      <c r="I9" s="16" t="s">
        <v>194</v>
      </c>
      <c r="J9" s="16"/>
      <c r="K9" s="17"/>
      <c r="L9" s="17" t="s">
        <v>200</v>
      </c>
      <c r="M9" s="21">
        <v>46196</v>
      </c>
      <c r="N9" s="19" t="s">
        <v>333</v>
      </c>
      <c r="O9" s="16" t="s">
        <v>360</v>
      </c>
      <c r="P9" s="16" t="s">
        <v>21</v>
      </c>
    </row>
    <row r="10" spans="1:16" ht="14.65" customHeight="1" x14ac:dyDescent="0.45">
      <c r="A10" s="10" t="s">
        <v>241</v>
      </c>
      <c r="B10" s="11" t="str">
        <f t="shared" si="0"/>
        <v>DA</v>
      </c>
      <c r="C10" s="13" t="s">
        <v>22</v>
      </c>
      <c r="D10" s="13" t="s">
        <v>200</v>
      </c>
      <c r="E10" s="11" t="s">
        <v>360</v>
      </c>
      <c r="F10" s="11" t="s">
        <v>368</v>
      </c>
      <c r="G10" s="11" t="s">
        <v>200</v>
      </c>
      <c r="H10" s="11" t="s">
        <v>194</v>
      </c>
      <c r="I10" s="11" t="s">
        <v>194</v>
      </c>
      <c r="J10" s="11"/>
      <c r="K10" s="12"/>
      <c r="L10" s="12" t="s">
        <v>200</v>
      </c>
      <c r="M10" s="14">
        <v>46196</v>
      </c>
      <c r="N10" s="14" t="s">
        <v>333</v>
      </c>
      <c r="O10" s="11" t="s">
        <v>360</v>
      </c>
      <c r="P10" s="11" t="s">
        <v>23</v>
      </c>
    </row>
  </sheetData>
  <conditionalFormatting sqref="H1:J10 L1:L10">
    <cfRule type="containsText" dxfId="7" priority="1" operator="containsText" text="No">
      <formula>NOT(ISERROR(SEARCH("No",H1)))</formula>
    </cfRule>
    <cfRule type="containsText" dxfId="6" priority="2" operator="containsText" text="Yes">
      <formula>NOT(ISERROR(SEARCH("Yes",H1)))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6EB9-66B8-44F4-A8BF-3401666B7011}">
  <dimension ref="A1:P10"/>
  <sheetViews>
    <sheetView workbookViewId="0">
      <selection activeCell="E17" sqref="E17"/>
    </sheetView>
  </sheetViews>
  <sheetFormatPr defaultRowHeight="14.25" x14ac:dyDescent="0.45"/>
  <cols>
    <col min="1" max="1" width="23.9296875" customWidth="1"/>
    <col min="3" max="3" width="13.06640625" customWidth="1"/>
    <col min="4" max="4" width="14.86328125" customWidth="1"/>
    <col min="5" max="5" width="12.265625" customWidth="1"/>
    <col min="6" max="6" width="30.86328125" customWidth="1"/>
    <col min="8" max="8" width="11.86328125" customWidth="1"/>
    <col min="9" max="9" width="12.59765625" customWidth="1"/>
    <col min="10" max="10" width="13.86328125" customWidth="1"/>
    <col min="11" max="11" width="14" customWidth="1"/>
    <col min="12" max="12" width="11.9296875" customWidth="1"/>
    <col min="16" max="16" width="18.265625" customWidth="1"/>
  </cols>
  <sheetData>
    <row r="1" spans="1:16" ht="24" x14ac:dyDescent="0.45">
      <c r="A1" s="7" t="s">
        <v>0</v>
      </c>
      <c r="B1" s="8" t="s">
        <v>330</v>
      </c>
      <c r="C1" s="8" t="s">
        <v>1</v>
      </c>
      <c r="D1" s="9" t="s">
        <v>187</v>
      </c>
      <c r="E1" s="9" t="s">
        <v>197</v>
      </c>
      <c r="F1" s="9" t="s">
        <v>357</v>
      </c>
      <c r="G1" s="9" t="s">
        <v>356</v>
      </c>
      <c r="H1" s="8" t="s">
        <v>352</v>
      </c>
      <c r="I1" s="8" t="s">
        <v>353</v>
      </c>
      <c r="J1" s="8" t="s">
        <v>232</v>
      </c>
      <c r="K1" s="8" t="s">
        <v>189</v>
      </c>
      <c r="L1" s="8" t="s">
        <v>195</v>
      </c>
      <c r="M1" s="8" t="s">
        <v>188</v>
      </c>
      <c r="N1" s="8" t="s">
        <v>192</v>
      </c>
      <c r="O1" s="9" t="s">
        <v>2</v>
      </c>
      <c r="P1" s="9" t="s">
        <v>3</v>
      </c>
    </row>
    <row r="2" spans="1:16" ht="15" customHeight="1" x14ac:dyDescent="0.45">
      <c r="A2" s="10" t="s">
        <v>233</v>
      </c>
      <c r="B2" s="11" t="str">
        <f t="shared" ref="B2:B10" si="0">_xlfn.TEXTBEFORE(_xlfn.TEXTAFTER(A2,"[",-1),"]")</f>
        <v>DA</v>
      </c>
      <c r="C2" s="13" t="s">
        <v>5</v>
      </c>
      <c r="D2" s="13" t="s">
        <v>358</v>
      </c>
      <c r="E2" s="11" t="s">
        <v>360</v>
      </c>
      <c r="F2" s="11" t="s">
        <v>359</v>
      </c>
      <c r="G2" s="11" t="s">
        <v>200</v>
      </c>
      <c r="H2" s="11" t="s">
        <v>190</v>
      </c>
      <c r="I2" s="11" t="s">
        <v>190</v>
      </c>
      <c r="J2" s="11"/>
      <c r="K2" s="12"/>
      <c r="L2" s="12" t="s">
        <v>190</v>
      </c>
      <c r="M2" s="14">
        <v>46196</v>
      </c>
      <c r="N2" s="14" t="s">
        <v>333</v>
      </c>
      <c r="O2" s="11" t="s">
        <v>360</v>
      </c>
      <c r="P2" s="11" t="s">
        <v>7</v>
      </c>
    </row>
    <row r="3" spans="1:16" ht="18" customHeight="1" x14ac:dyDescent="0.45">
      <c r="A3" s="15" t="s">
        <v>234</v>
      </c>
      <c r="B3" s="16" t="str">
        <f t="shared" si="0"/>
        <v>DA</v>
      </c>
      <c r="C3" s="18" t="s">
        <v>8</v>
      </c>
      <c r="D3" s="18" t="s">
        <v>200</v>
      </c>
      <c r="E3" s="16" t="s">
        <v>361</v>
      </c>
      <c r="F3" s="16" t="s">
        <v>359</v>
      </c>
      <c r="G3" s="16" t="s">
        <v>200</v>
      </c>
      <c r="H3" s="16" t="s">
        <v>194</v>
      </c>
      <c r="I3" s="16" t="s">
        <v>194</v>
      </c>
      <c r="J3" s="16"/>
      <c r="K3" s="17"/>
      <c r="L3" s="17" t="s">
        <v>200</v>
      </c>
      <c r="M3" s="21">
        <v>46196</v>
      </c>
      <c r="N3" s="19" t="s">
        <v>333</v>
      </c>
      <c r="O3" s="16" t="s">
        <v>360</v>
      </c>
      <c r="P3" s="16" t="s">
        <v>9</v>
      </c>
    </row>
    <row r="4" spans="1:16" ht="19.899999999999999" customHeight="1" x14ac:dyDescent="0.45">
      <c r="A4" s="10" t="s">
        <v>235</v>
      </c>
      <c r="B4" s="11" t="str">
        <f t="shared" si="0"/>
        <v>DA</v>
      </c>
      <c r="C4" s="13" t="s">
        <v>10</v>
      </c>
      <c r="D4" s="13" t="s">
        <v>362</v>
      </c>
      <c r="E4" s="11" t="s">
        <v>360</v>
      </c>
      <c r="F4" s="11" t="s">
        <v>359</v>
      </c>
      <c r="G4" s="20" t="s">
        <v>200</v>
      </c>
      <c r="H4" s="11" t="s">
        <v>194</v>
      </c>
      <c r="I4" s="11" t="s">
        <v>190</v>
      </c>
      <c r="J4" s="11"/>
      <c r="K4" s="12"/>
      <c r="L4" s="12" t="s">
        <v>190</v>
      </c>
      <c r="M4" s="14">
        <v>46196</v>
      </c>
      <c r="N4" s="14" t="s">
        <v>333</v>
      </c>
      <c r="O4" s="11" t="s">
        <v>360</v>
      </c>
      <c r="P4" s="11" t="s">
        <v>11</v>
      </c>
    </row>
    <row r="5" spans="1:16" ht="19.5" customHeight="1" x14ac:dyDescent="0.45">
      <c r="A5" s="15" t="s">
        <v>236</v>
      </c>
      <c r="B5" s="16" t="str">
        <f t="shared" si="0"/>
        <v>DA</v>
      </c>
      <c r="C5" s="18" t="s">
        <v>12</v>
      </c>
      <c r="D5" s="18" t="s">
        <v>363</v>
      </c>
      <c r="E5" s="16" t="s">
        <v>360</v>
      </c>
      <c r="F5" s="16" t="s">
        <v>359</v>
      </c>
      <c r="G5" s="16" t="s">
        <v>200</v>
      </c>
      <c r="H5" s="16" t="s">
        <v>190</v>
      </c>
      <c r="I5" s="16" t="s">
        <v>190</v>
      </c>
      <c r="J5" s="16"/>
      <c r="K5" s="17"/>
      <c r="L5" s="17" t="s">
        <v>190</v>
      </c>
      <c r="M5" s="21">
        <v>46196</v>
      </c>
      <c r="N5" s="19" t="s">
        <v>333</v>
      </c>
      <c r="O5" s="16" t="s">
        <v>360</v>
      </c>
      <c r="P5" s="16" t="s">
        <v>13</v>
      </c>
    </row>
    <row r="6" spans="1:16" ht="20.25" customHeight="1" x14ac:dyDescent="0.45">
      <c r="A6" s="10" t="s">
        <v>237</v>
      </c>
      <c r="B6" s="11" t="str">
        <f t="shared" si="0"/>
        <v>DA</v>
      </c>
      <c r="C6" s="13" t="s">
        <v>14</v>
      </c>
      <c r="D6" s="13" t="s">
        <v>200</v>
      </c>
      <c r="E6" s="11" t="s">
        <v>360</v>
      </c>
      <c r="F6" s="11" t="s">
        <v>359</v>
      </c>
      <c r="G6" s="20" t="s">
        <v>200</v>
      </c>
      <c r="H6" s="11" t="s">
        <v>194</v>
      </c>
      <c r="I6" s="11" t="s">
        <v>194</v>
      </c>
      <c r="J6" s="11"/>
      <c r="K6" s="12"/>
      <c r="L6" s="12" t="s">
        <v>200</v>
      </c>
      <c r="M6" s="14">
        <v>46196</v>
      </c>
      <c r="N6" s="14" t="s">
        <v>333</v>
      </c>
      <c r="O6" s="11" t="s">
        <v>360</v>
      </c>
      <c r="P6" s="11" t="s">
        <v>15</v>
      </c>
    </row>
    <row r="7" spans="1:16" ht="20.65" customHeight="1" x14ac:dyDescent="0.45">
      <c r="A7" s="15" t="s">
        <v>238</v>
      </c>
      <c r="B7" s="16" t="str">
        <f t="shared" si="0"/>
        <v>DA</v>
      </c>
      <c r="C7" s="18" t="s">
        <v>16</v>
      </c>
      <c r="D7" s="18" t="s">
        <v>364</v>
      </c>
      <c r="E7" s="16" t="s">
        <v>360</v>
      </c>
      <c r="F7" s="16" t="s">
        <v>359</v>
      </c>
      <c r="G7" s="16" t="s">
        <v>200</v>
      </c>
      <c r="H7" s="16" t="s">
        <v>190</v>
      </c>
      <c r="I7" s="16" t="s">
        <v>190</v>
      </c>
      <c r="J7" s="16"/>
      <c r="K7" s="17"/>
      <c r="L7" s="17" t="s">
        <v>190</v>
      </c>
      <c r="M7" s="21">
        <v>46196</v>
      </c>
      <c r="N7" s="19" t="s">
        <v>333</v>
      </c>
      <c r="O7" s="16" t="s">
        <v>360</v>
      </c>
      <c r="P7" s="16" t="s">
        <v>17</v>
      </c>
    </row>
    <row r="8" spans="1:16" ht="20.65" customHeight="1" x14ac:dyDescent="0.45">
      <c r="A8" s="10" t="s">
        <v>239</v>
      </c>
      <c r="B8" s="11" t="str">
        <f t="shared" si="0"/>
        <v>DA</v>
      </c>
      <c r="C8" s="13" t="s">
        <v>18</v>
      </c>
      <c r="D8" s="11" t="s">
        <v>200</v>
      </c>
      <c r="E8" s="11" t="s">
        <v>361</v>
      </c>
      <c r="F8" s="11" t="s">
        <v>359</v>
      </c>
      <c r="G8" s="20" t="s">
        <v>200</v>
      </c>
      <c r="H8" s="11" t="s">
        <v>194</v>
      </c>
      <c r="I8" s="11" t="s">
        <v>194</v>
      </c>
      <c r="J8" s="11"/>
      <c r="K8" s="12"/>
      <c r="L8" s="12" t="s">
        <v>200</v>
      </c>
      <c r="M8" s="14">
        <v>46196</v>
      </c>
      <c r="N8" s="14" t="s">
        <v>333</v>
      </c>
      <c r="O8" s="11" t="s">
        <v>360</v>
      </c>
      <c r="P8" s="11" t="s">
        <v>19</v>
      </c>
    </row>
    <row r="9" spans="1:16" ht="23.65" customHeight="1" x14ac:dyDescent="0.45">
      <c r="A9" s="15" t="s">
        <v>240</v>
      </c>
      <c r="B9" s="16" t="str">
        <f t="shared" si="0"/>
        <v>DA</v>
      </c>
      <c r="C9" s="18" t="s">
        <v>20</v>
      </c>
      <c r="D9" s="18" t="s">
        <v>365</v>
      </c>
      <c r="E9" s="16" t="s">
        <v>360</v>
      </c>
      <c r="F9" s="16" t="s">
        <v>359</v>
      </c>
      <c r="G9" s="16" t="s">
        <v>200</v>
      </c>
      <c r="H9" s="16" t="s">
        <v>190</v>
      </c>
      <c r="I9" s="16" t="s">
        <v>190</v>
      </c>
      <c r="J9" s="16"/>
      <c r="K9" s="17"/>
      <c r="L9" s="17" t="s">
        <v>190</v>
      </c>
      <c r="M9" s="21">
        <v>46196</v>
      </c>
      <c r="N9" s="19" t="s">
        <v>333</v>
      </c>
      <c r="O9" s="16" t="s">
        <v>360</v>
      </c>
      <c r="P9" s="16" t="s">
        <v>21</v>
      </c>
    </row>
    <row r="10" spans="1:16" ht="15.75" customHeight="1" x14ac:dyDescent="0.45">
      <c r="A10" s="10" t="s">
        <v>241</v>
      </c>
      <c r="B10" s="11" t="str">
        <f t="shared" si="0"/>
        <v>DA</v>
      </c>
      <c r="C10" s="13" t="s">
        <v>22</v>
      </c>
      <c r="D10" s="13" t="s">
        <v>366</v>
      </c>
      <c r="E10" s="11" t="s">
        <v>360</v>
      </c>
      <c r="F10" s="11" t="s">
        <v>359</v>
      </c>
      <c r="G10" s="20" t="s">
        <v>200</v>
      </c>
      <c r="H10" s="11" t="s">
        <v>190</v>
      </c>
      <c r="I10" s="11" t="s">
        <v>190</v>
      </c>
      <c r="J10" s="11"/>
      <c r="K10" s="12"/>
      <c r="L10" s="12" t="s">
        <v>190</v>
      </c>
      <c r="M10" s="14">
        <v>46196</v>
      </c>
      <c r="N10" s="14" t="s">
        <v>333</v>
      </c>
      <c r="O10" s="11" t="s">
        <v>360</v>
      </c>
      <c r="P10" s="11" t="s">
        <v>23</v>
      </c>
    </row>
  </sheetData>
  <conditionalFormatting sqref="H1:J10 L1:L10">
    <cfRule type="containsText" dxfId="5" priority="1" operator="containsText" text="No">
      <formula>NOT(ISERROR(SEARCH("No",H1)))</formula>
    </cfRule>
    <cfRule type="containsText" dxfId="4" priority="2" operator="containsText" text="Yes">
      <formula>NOT(ISERROR(SEARCH("Yes",H1)))</formula>
    </cfRule>
  </conditionalFormatting>
  <pageMargins left="0.7" right="0.7" top="0.75" bottom="0.75" header="0.3" footer="0.3"/>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Broad-Narrow DA (File Upload)</vt:lpstr>
      <vt:lpstr>Broad Only DA (SharePoint)</vt:lpstr>
      <vt:lpstr>Broad Only DA (File 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 Parks</cp:lastModifiedBy>
  <dcterms:modified xsi:type="dcterms:W3CDTF">2026-06-23T11:51:04Z</dcterms:modified>
</cp:coreProperties>
</file>