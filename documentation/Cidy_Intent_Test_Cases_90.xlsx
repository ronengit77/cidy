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202300"/>
  <mc:AlternateContent xmlns:mc="http://schemas.openxmlformats.org/markup-compatibility/2006">
    <mc:Choice Requires="x15">
      <x15ac:absPath xmlns:x15ac="http://schemas.microsoft.com/office/spreadsheetml/2010/11/ac" url="C:\Users\RRAPOPOR\Documents\Cidy testing\documentation\"/>
    </mc:Choice>
  </mc:AlternateContent>
  <xr:revisionPtr revIDLastSave="0" documentId="13_ncr:1_{E2BC7338-B97F-493F-9457-001FE19C0B75}" xr6:coauthVersionLast="47" xr6:coauthVersionMax="47" xr10:uidLastSave="{00000000-0000-0000-0000-000000000000}"/>
  <bookViews>
    <workbookView xWindow="-110" yWindow="-110" windowWidth="19420" windowHeight="11500" xr2:uid="{00000000-000D-0000-FFFF-FFFF00000000}"/>
  </bookViews>
  <sheets>
    <sheet name="Dashboard" sheetId="2" r:id="rId1"/>
    <sheet name="Test Cases" sheetId="1"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6" i="1" l="1"/>
  <c r="B55" i="1"/>
  <c r="B54" i="1"/>
  <c r="B53" i="1"/>
  <c r="B52" i="1"/>
  <c r="B51" i="1"/>
  <c r="B50" i="1"/>
  <c r="B49" i="1"/>
  <c r="B48" i="1"/>
  <c r="B47" i="1"/>
  <c r="B46" i="1"/>
  <c r="B45" i="1"/>
  <c r="B44" i="1"/>
  <c r="B43" i="1"/>
  <c r="B42" i="1"/>
  <c r="B41" i="1"/>
  <c r="B40" i="1"/>
  <c r="B39" i="1"/>
  <c r="B38" i="1"/>
  <c r="B37" i="1"/>
  <c r="B36" i="1"/>
  <c r="B35" i="1"/>
  <c r="B34" i="1"/>
  <c r="B33" i="1"/>
  <c r="B32" i="1"/>
  <c r="B31" i="1"/>
  <c r="B30" i="1"/>
  <c r="B29" i="1"/>
  <c r="B28" i="1"/>
  <c r="B27" i="1"/>
  <c r="B26" i="1"/>
  <c r="B25" i="1"/>
  <c r="B24" i="1"/>
  <c r="B23" i="1"/>
  <c r="B22" i="1"/>
  <c r="B21" i="1"/>
  <c r="B20" i="1"/>
  <c r="B19" i="1"/>
  <c r="B18" i="1"/>
  <c r="B17" i="1"/>
  <c r="B16" i="1"/>
  <c r="B15" i="1"/>
  <c r="B14" i="1"/>
  <c r="B2" i="1"/>
  <c r="B3" i="1"/>
  <c r="B4" i="1"/>
  <c r="B5" i="1"/>
  <c r="B6" i="1"/>
  <c r="B7" i="1"/>
  <c r="B8" i="1"/>
  <c r="B9" i="1"/>
  <c r="B10" i="1"/>
  <c r="B11" i="1"/>
  <c r="B12" i="1"/>
  <c r="B13"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D6" i="2"/>
  <c r="M5" i="2" a="1"/>
  <c r="M5" i="2" s="1"/>
  <c r="K64" i="2" a="1"/>
  <c r="K64" i="2" s="1"/>
  <c r="K65" i="2" a="1"/>
  <c r="K65" i="2" s="1"/>
  <c r="K66" i="2" a="1"/>
  <c r="K66" i="2" s="1"/>
  <c r="K67" i="2" a="1"/>
  <c r="K67" i="2" s="1"/>
  <c r="K68" i="2" a="1"/>
  <c r="K68" i="2" s="1"/>
  <c r="K69" i="2" a="1"/>
  <c r="K69" i="2" s="1"/>
  <c r="K70" i="2" a="1"/>
  <c r="K70" i="2" s="1"/>
  <c r="K71" i="2" a="1"/>
  <c r="K71" i="2" s="1"/>
  <c r="K72" i="2" a="1"/>
  <c r="K72" i="2" s="1"/>
  <c r="K73" i="2" a="1"/>
  <c r="K73" i="2" s="1"/>
  <c r="K74" i="2" a="1"/>
  <c r="K74" i="2" s="1"/>
  <c r="K75" i="2" a="1"/>
  <c r="K75" i="2" s="1"/>
  <c r="K76" i="2" a="1"/>
  <c r="K76" i="2" s="1"/>
  <c r="K77" i="2" a="1"/>
  <c r="K77" i="2" s="1"/>
  <c r="K78" i="2" a="1"/>
  <c r="K78" i="2" s="1"/>
  <c r="K79" i="2" a="1"/>
  <c r="K79" i="2" s="1"/>
  <c r="K80" i="2" a="1"/>
  <c r="K80" i="2" s="1"/>
  <c r="K81" i="2" a="1"/>
  <c r="K81" i="2" s="1"/>
  <c r="K82" i="2" a="1"/>
  <c r="K82" i="2" s="1"/>
  <c r="K83" i="2" a="1"/>
  <c r="K83" i="2" s="1"/>
  <c r="K84" i="2" a="1"/>
  <c r="K84" i="2" s="1"/>
  <c r="K85" i="2" a="1"/>
  <c r="K85" i="2" s="1"/>
  <c r="K86" i="2" a="1"/>
  <c r="K86" i="2" s="1"/>
  <c r="K87" i="2" a="1"/>
  <c r="K87" i="2" s="1"/>
  <c r="K88" i="2" a="1"/>
  <c r="K88" i="2" s="1"/>
  <c r="K89" i="2" a="1"/>
  <c r="K89" i="2" s="1"/>
  <c r="K90" i="2" a="1"/>
  <c r="K90" i="2" s="1"/>
  <c r="K91" i="2" a="1"/>
  <c r="K91" i="2" s="1"/>
  <c r="K92" i="2" a="1"/>
  <c r="K92" i="2" s="1"/>
  <c r="K93" i="2" a="1"/>
  <c r="K93" i="2" s="1"/>
  <c r="K94" i="2" a="1"/>
  <c r="K94" i="2" s="1"/>
  <c r="K95" i="2" a="1"/>
  <c r="K95" i="2" s="1"/>
  <c r="K96" i="2" a="1"/>
  <c r="K96" i="2" s="1"/>
  <c r="K97" i="2" a="1"/>
  <c r="K97" i="2" s="1"/>
  <c r="K98" i="2" a="1"/>
  <c r="K98" i="2" s="1"/>
  <c r="K99" i="2" a="1"/>
  <c r="K99" i="2" s="1"/>
  <c r="K100" i="2" a="1"/>
  <c r="K100" i="2" s="1"/>
  <c r="K101" i="2" a="1"/>
  <c r="K101" i="2" s="1"/>
  <c r="K102" i="2" a="1"/>
  <c r="K102" i="2" s="1"/>
  <c r="K103" i="2" a="1"/>
  <c r="K103" i="2" s="1"/>
  <c r="K104" i="2" a="1"/>
  <c r="K104" i="2" s="1"/>
  <c r="J64" i="2" a="1"/>
  <c r="J64" i="2" s="1"/>
  <c r="J65" i="2" a="1"/>
  <c r="J65" i="2" s="1"/>
  <c r="J66" i="2" a="1"/>
  <c r="J66" i="2" s="1"/>
  <c r="J67" i="2" a="1"/>
  <c r="J67" i="2" s="1"/>
  <c r="J68" i="2" a="1"/>
  <c r="J68" i="2" s="1"/>
  <c r="J69" i="2" a="1"/>
  <c r="J69" i="2" s="1"/>
  <c r="J70" i="2" a="1"/>
  <c r="J70" i="2" s="1"/>
  <c r="J71" i="2" a="1"/>
  <c r="J71" i="2" s="1"/>
  <c r="J72" i="2" a="1"/>
  <c r="J72" i="2" s="1"/>
  <c r="J73" i="2" a="1"/>
  <c r="J73" i="2" s="1"/>
  <c r="J74" i="2" a="1"/>
  <c r="J74" i="2" s="1"/>
  <c r="J75" i="2" a="1"/>
  <c r="J75" i="2" s="1"/>
  <c r="J76" i="2" a="1"/>
  <c r="J76" i="2" s="1"/>
  <c r="J77" i="2" a="1"/>
  <c r="J77" i="2" s="1"/>
  <c r="J78" i="2" a="1"/>
  <c r="J78" i="2" s="1"/>
  <c r="J79" i="2" a="1"/>
  <c r="J79" i="2" s="1"/>
  <c r="J80" i="2" a="1"/>
  <c r="J80" i="2" s="1"/>
  <c r="J81" i="2" a="1"/>
  <c r="J81" i="2" s="1"/>
  <c r="J82" i="2" a="1"/>
  <c r="J82" i="2" s="1"/>
  <c r="J83" i="2" a="1"/>
  <c r="J83" i="2" s="1"/>
  <c r="J84" i="2" a="1"/>
  <c r="J84" i="2" s="1"/>
  <c r="J85" i="2" a="1"/>
  <c r="J85" i="2" s="1"/>
  <c r="J86" i="2" a="1"/>
  <c r="J86" i="2" s="1"/>
  <c r="J87" i="2" a="1"/>
  <c r="J87" i="2" s="1"/>
  <c r="J88" i="2" a="1"/>
  <c r="J88" i="2" s="1"/>
  <c r="J89" i="2" a="1"/>
  <c r="J89" i="2" s="1"/>
  <c r="J90" i="2" a="1"/>
  <c r="J90" i="2" s="1"/>
  <c r="J91" i="2" a="1"/>
  <c r="J91" i="2" s="1"/>
  <c r="J92" i="2" a="1"/>
  <c r="J92" i="2" s="1"/>
  <c r="J93" i="2" a="1"/>
  <c r="J93" i="2" s="1"/>
  <c r="J94" i="2" a="1"/>
  <c r="J94" i="2" s="1"/>
  <c r="J95" i="2" a="1"/>
  <c r="J95" i="2" s="1"/>
  <c r="J96" i="2" a="1"/>
  <c r="J96" i="2" s="1"/>
  <c r="J97" i="2" a="1"/>
  <c r="J97" i="2" s="1"/>
  <c r="J98" i="2" a="1"/>
  <c r="J98" i="2" s="1"/>
  <c r="J99" i="2" a="1"/>
  <c r="J99" i="2" s="1"/>
  <c r="J100" i="2" a="1"/>
  <c r="J100" i="2" s="1"/>
  <c r="J101" i="2" a="1"/>
  <c r="J101" i="2" s="1"/>
  <c r="J102" i="2" a="1"/>
  <c r="J102" i="2" s="1"/>
  <c r="J103" i="2" a="1"/>
  <c r="J103" i="2" s="1"/>
  <c r="J104" i="2" a="1"/>
  <c r="J104" i="2" s="1"/>
  <c r="D5" i="2"/>
  <c r="D4" i="2"/>
  <c r="P5" i="2" l="1" a="1"/>
  <c r="P5" i="2" s="1"/>
  <c r="O5" i="2" a="1"/>
  <c r="O5" i="2" s="1"/>
  <c r="N5" i="2" a="1"/>
  <c r="N5" i="2" s="1"/>
  <c r="G5" i="2" a="1"/>
  <c r="G5" i="2" l="1"/>
  <c r="K5" i="2" s="1" a="1"/>
  <c r="K5" i="2" s="1"/>
  <c r="I5" i="2" l="1" a="1"/>
  <c r="I5" i="2" s="1"/>
  <c r="J5" i="2" a="1"/>
  <c r="J5" i="2"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<sst xmlns="http://schemas.openxmlformats.org/spreadsheetml/2006/main" count="690" uniqueCount="372">
  <si>
    <t>Scenario</t>
  </si>
  <si>
    <t>Test Question</t>
  </si>
  <si>
    <t>Clarification</t>
  </si>
  <si>
    <t>Expected Behavior</t>
  </si>
  <si>
    <t>Date Created</t>
  </si>
  <si>
    <t>What is required in a DA concept note?</t>
  </si>
  <si>
    <t/>
  </si>
  <si>
    <t>Intent Classifier sets knowledge_domain=da, funding_stream=DA, topic_area=project_planning_design, requires_clarification=No. Intent Clarifier bypasses. Intent Router routes to Formulate Response DA.</t>
  </si>
  <si>
    <t>For DA, how do I prepare a project document?</t>
  </si>
  <si>
    <t>Routes directly to Formulate Response DA with topic_area=project_planning_design.</t>
  </si>
  <si>
    <t>What are the DA requirements for project monitoring and reporting?</t>
  </si>
  <si>
    <t>Routes directly to Formulate Response DA with topic_area=monitoring_reporting.</t>
  </si>
  <si>
    <t>Under the Development Account, are travel costs eligible?</t>
  </si>
  <si>
    <t>Routes directly to Formulate Response DA with topic_area=budget_finance or eligibility_budget if available.</t>
  </si>
  <si>
    <t>What does Section 35 say about project design?</t>
  </si>
  <si>
    <t>Recognizes Section 35 as DA signal and routes to Formulate Response DA.</t>
  </si>
  <si>
    <t>How do I design a DA terminal evaluation?</t>
  </si>
  <si>
    <t>Routes directly to Formulate Response DA with topic_area=evaluation_design. This is guidance on designing an evaluation, not actual evaluation evidence.</t>
  </si>
  <si>
    <t>What is the DA evaluation report template?</t>
  </si>
  <si>
    <t>Routes to Formulate Response DA with topic_area=evaluation_design or templates.</t>
  </si>
  <si>
    <t>How do I start a new DA project?</t>
  </si>
  <si>
    <t>Routes to Formulate Response DA. Topic may be general or project_planning_design.</t>
  </si>
  <si>
    <t>Which DA tranche guidance should I use for a new project?</t>
  </si>
  <si>
    <t>Routes to Formulate Response DA and should prefer the latest tranche guidance.</t>
  </si>
  <si>
    <t>Is there a DA checklist for reviewing concept notes?</t>
  </si>
  <si>
    <t>Routes to Formulate Response DA with topic_area=project_planning_design or templates.</t>
  </si>
  <si>
    <t>What do project evaluations say about sustainability?</t>
  </si>
  <si>
    <t>Routes directly to Programme Development with topic_area=projects_evaluations. This is actual evaluation evidence, not evaluation design guidance.</t>
  </si>
  <si>
    <t>Routes to Programme Development with topic_area=projects_evaluations.</t>
  </si>
  <si>
    <t>Are there recurring findings from past project evaluations?</t>
  </si>
  <si>
    <t>What do evaluation reports say about project design weaknesses?</t>
  </si>
  <si>
    <t>What have previous evaluations found about partnerships?</t>
  </si>
  <si>
    <t>What do evaluations recommend about sustainability?</t>
  </si>
  <si>
    <t>What is DESA's capacity development strategy?</t>
  </si>
  <si>
    <t>Routes to Formulate Response Programme Development with topic_area=cd_strategy.</t>
  </si>
  <si>
    <t>What has the Steering Committee discussed about programme development?</t>
  </si>
  <si>
    <t>Routes to Programme Development with topic_area=steering_committee.</t>
  </si>
  <si>
    <t>What are the TAG meeting materials about?</t>
  </si>
  <si>
    <t>Routes to Programme Development with topic_area=tag_meetings.</t>
  </si>
  <si>
    <t>What guidance exists on programme development in Cidy?</t>
  </si>
  <si>
    <t>Routes to Programme Development with topic_area=general.</t>
  </si>
  <si>
    <t>What instructions apply to the 2025 annual progress report template?</t>
  </si>
  <si>
    <t>Routes to Programme Development with topic_area=guidelines_templates.</t>
  </si>
  <si>
    <t>What should be included in the final report template for a capacity development project?</t>
  </si>
  <si>
    <t>What guidance is available for preparing a project document, including theory of change, risks, workplan, and budget justification?</t>
  </si>
  <si>
    <t>When should DESA use an implementing partner agreement instead of procurement?</t>
  </si>
  <si>
    <t>Routes to Programme Development with topic_area=implementing_partners_grants.</t>
  </si>
  <si>
    <t>What due diligence is required before approving a grant to an implementing partner?</t>
  </si>
  <si>
    <t>Where can I find the IPGC decision template and partner evaluation template for grants?</t>
  </si>
  <si>
    <t>What are the RPTC budget and finance requirements?</t>
  </si>
  <si>
    <t>Routes to Formulate Response RPTC with topic_area=rptc_guidance_templates.</t>
  </si>
  <si>
    <t>What are the RPTC governance arrangements?</t>
  </si>
  <si>
    <t>What are RPTC roles and responsibilities?</t>
  </si>
  <si>
    <t>What programme design standards apply to RPTC?</t>
  </si>
  <si>
    <t>What are the RPTC evaluation criteria?</t>
  </si>
  <si>
    <t>Where can I find guidance on RPTC reports?</t>
  </si>
  <si>
    <t>What does the UNPDF guidance say about reporting?</t>
  </si>
  <si>
    <t>Routes to Formulate Response PDF or the temporary not-yet-developed PDF message.</t>
  </si>
  <si>
    <t>How does Cidy work?</t>
  </si>
  <si>
    <t>Routes to Formulate Response Cidy About with topic_area=about_cidy. No clarification should be required.</t>
  </si>
  <si>
    <t>What knowledge sources does Cidy currently use?</t>
  </si>
  <si>
    <t>Routes to Formulate Response Cidy About with topic_area=about_cidy.</t>
  </si>
  <si>
    <t>Who maintains Cidy's knowledge?</t>
  </si>
  <si>
    <t>How do I write an evaluation report?</t>
  </si>
  <si>
    <t>Development Account (DA)</t>
  </si>
  <si>
    <t>Classifier asks fund clarification. Clarifier maps Development Account (DA) to knowledge_domain=da, funding_stream=DA, topic_area=evaluation_design, intentStatus=ready_to_route. Router routes to Formulate Response DA.</t>
  </si>
  <si>
    <t>What are the reporting requirements?</t>
  </si>
  <si>
    <t>RPTC</t>
  </si>
  <si>
    <t>Classifier asks fund clarification. Clarifier maps to knowledge_domain=rptc, funding_stream=RPTC. Router routes to RPTC or temporary not-yet-developed RPTC message.</t>
  </si>
  <si>
    <t>Which reporting template should I use?</t>
  </si>
  <si>
    <t>UNPDF / PDF</t>
  </si>
  <si>
    <t>Classifier asks fund or artifact clarification. After UNPDF/PDF selection, Clarifier maps to knowledge_domain=pdf, funding_stream=PDF. Router routes to PDF or temporary not-yet-developed message.</t>
  </si>
  <si>
    <t>Are travel costs eligible?</t>
  </si>
  <si>
    <t>Not sure</t>
  </si>
  <si>
    <t>Classifier asks fund clarification. Clarifier maps Not sure to general_cd or programme_development depending configured default. Router should avoid unsafe fund-specific answer and likely route to User Feedback or general guidance.</t>
  </si>
  <si>
    <t>I need help with a project. Where do I start?</t>
  </si>
  <si>
    <t>Classifier asks domain clarification. Clarifier maps to knowledge_domain=da, funding_stream=DA, topic_area=general or project_planning_design. Router routes to Formulate Response DA.</t>
  </si>
  <si>
    <t>Programme Development</t>
  </si>
  <si>
    <t>Clarifier maps to knowledge_domain=programme_development, funding_stream=UNCLEAR. Router routes to Programme Development.</t>
  </si>
  <si>
    <t>I need help understanding project performance. Where should I look?</t>
  </si>
  <si>
    <t>Project Evaluations / Lessons Learned</t>
  </si>
  <si>
    <t>Clarifier maps to knowledge_domain=programme_development, topic_area=projects_evaluations and routes to Programme Development.</t>
  </si>
  <si>
    <t>I need help. What is this tool?</t>
  </si>
  <si>
    <t>About Cidy</t>
  </si>
  <si>
    <t>Clarifier maps to knowledge_domain=about_cidy. Router routes to Formulate Response Cidy About.</t>
  </si>
  <si>
    <t>Can you help me with a project report?</t>
  </si>
  <si>
    <t>Clarifier maps to knowledge_domain=rptc, funding_stream=RPTC. Router routes to RPTC.</t>
  </si>
  <si>
    <t>Can you help me with a project?</t>
  </si>
  <si>
    <t>DA</t>
  </si>
  <si>
    <t>Typed answer DA should normalize to knowledge_domain=da and funding_stream=DA. Router routes to DA.</t>
  </si>
  <si>
    <t>Development Account</t>
  </si>
  <si>
    <t>Typed answer should normalize to DA. Router routes to Formulate Response DA.</t>
  </si>
  <si>
    <t>What guidance applies to this project?</t>
  </si>
  <si>
    <t>UNPDF</t>
  </si>
  <si>
    <t>Typed answer should normalize to knowledge_domain=pdf, funding_stream=PDF.</t>
  </si>
  <si>
    <t>Where is the template?</t>
  </si>
  <si>
    <t>Concept note</t>
  </si>
  <si>
    <t>Classifier asks artifact clarification. Clarifier maps topic_area=project_planning_design. If funding stream remains unclear, it may ask a second fund clarification or route to Programme Development/general depending configuration.</t>
  </si>
  <si>
    <t>How do I fill out the document?</t>
  </si>
  <si>
    <t>Evaluation report</t>
  </si>
  <si>
    <t>Clarifier maps topic_area=evaluation_design. If fund is unclear and fund-specific guidance is needed, it asks second clarification; otherwise routes based on current domain.</t>
  </si>
  <si>
    <t>Can you help me write the report?</t>
  </si>
  <si>
    <t>Progress report</t>
  </si>
  <si>
    <t>Clarifier maps topic_area=monitoring_reporting. If fund is unclear, it may ask fund clarification before routing.</t>
  </si>
  <si>
    <t>Which form should I use after an evaluation?</t>
  </si>
  <si>
    <t>Management response</t>
  </si>
  <si>
    <t>Clarifier maps topic_area=evaluation_design. Route depends on clarified/current domain, usually DA if DA is selected later.</t>
  </si>
  <si>
    <t>Which template should I use?</t>
  </si>
  <si>
    <t>Attempt 1: something invalid. Attempt 2: Development Account (DA).</t>
  </si>
  <si>
    <t>Clarifier increments attempts, reprompts once, then maps DA correctly and routes to Formulate Response DA before max attempts is exceeded.</t>
  </si>
  <si>
    <t>Where do I start?</t>
  </si>
  <si>
    <t>Classifier should not route directly. It should set requires_clarification=Yes, clarification_type=domain.</t>
  </si>
  <si>
    <t>I need a template.</t>
  </si>
  <si>
    <t>Classifier should ask artifact or fund clarification, not search knowledge directly.</t>
  </si>
  <si>
    <t>Classifier should ask artifact and/or fund clarification. It should not route until enough information is available.</t>
  </si>
  <si>
    <t>What guidance is available?</t>
  </si>
  <si>
    <t>Classifier should ask domain clarification because the domain is unclear.</t>
  </si>
  <si>
    <t>Can Cidy help me with my project?</t>
  </si>
  <si>
    <t>Classifier should ask domain clarification or route to About Cidy depending model judgment; should not fabricate a specific fund.</t>
  </si>
  <si>
    <t>What is the weather in New York today?</t>
  </si>
  <si>
    <t>Classifier sets knowledge_domain=out_of_scope, requires_clarification=No. Router sends controlled scope message and routes to User Feedback.</t>
  </si>
  <si>
    <t>Who won the last World Cup?</t>
  </si>
  <si>
    <t>Routes to User Feedback as out_of_scope. No clarification should be asked.</t>
  </si>
  <si>
    <t>Write me a poem about cats.</t>
  </si>
  <si>
    <t>Routes to User Feedback as out_of_scope. No knowledge search.</t>
  </si>
  <si>
    <t>How do I fix my laptop screen?</t>
  </si>
  <si>
    <t>Routes to User Feedback as out_of_scope.</t>
  </si>
  <si>
    <t>What stock should I buy this week?</t>
  </si>
  <si>
    <t>What information is required in an RPTC activity proposal template?</t>
  </si>
  <si>
    <t>2026-05-26</t>
  </si>
  <si>
    <t>What are the common reporting standards and minimum data points for RPTC activities?</t>
  </si>
  <si>
    <t>What guidance applies to Inter-Regional Adviser recruitment, renewal, reporting lines, and administration?</t>
  </si>
  <si>
    <t>What should be captured in an RPTC activity report template after an activity?</t>
  </si>
  <si>
    <t>How are RPTC activities planned, approved, revised, and reported after completion?</t>
  </si>
  <si>
    <t>What were the main achievements of the Regular Programme of Technical Cooperation in 2024?</t>
  </si>
  <si>
    <t>Routes to Formulate Response RPTC with topic_area=rptc_progress_reports.</t>
  </si>
  <si>
    <t>How many countries, requests, interventions, and people were supported through RPTC in 2024?</t>
  </si>
  <si>
    <t>Which UN implementing entities delivered RPTC activities, and how did their results differ?</t>
  </si>
  <si>
    <t>How did RPTC support least developed countries, landlocked developing countries, and small island developing States?</t>
  </si>
  <si>
    <t>What challenges and recommendations does the RPTC progress report identify for strengthening future years?</t>
  </si>
  <si>
    <t>When should DESA inform the RC or RCO about a planned country mission?</t>
  </si>
  <si>
    <t>Routes to Programme Development with topic_area=resident_coordinator.</t>
  </si>
  <si>
    <t>2026-05-27</t>
  </si>
  <si>
    <t>How should DESA align country-level support with the CCA and UNSDCF processes?</t>
  </si>
  <si>
    <t>When can DESA become a UNCT member or UNSDCF signatory?</t>
  </si>
  <si>
    <t>What are DESA's main action areas for 2023?</t>
  </si>
  <si>
    <t>Routes to Programme Development with topic_area=cd_strategy.</t>
  </si>
  <si>
    <t>What are the five service lines or areas of work in DESA's capacity development strategy?</t>
  </si>
  <si>
    <t>How does the knowledge hub prioritize requests?</t>
  </si>
  <si>
    <t>Classifier may ask domain clarification for broad Cidy-related knowledge hub wording. Clarifier maps Programme Development and routes to Programme Development with topic_area=cd_strategy.</t>
  </si>
  <si>
    <t>What is Cidy and what problem is it intended to solve?</t>
  </si>
  <si>
    <t>Intent Classifier sets knowledge_domain=about_cidy, funding_stream=UNCLEAR, topic_area=about_cidy, requires_clarification=No. Intent Router routes to Formulate Response Cidy About.</t>
  </si>
  <si>
    <t>How does Cidy differ from a general-purpose AI chatbot?</t>
  </si>
  <si>
    <t>Routes directly to Formulate Response Cidy About with topic_area=about_cidy.</t>
  </si>
  <si>
    <t>Which topics and knowledge areas does Cidy currently cover?</t>
  </si>
  <si>
    <t>What kinds of DA, RPTC, Programme Development, and general CDPMO questions can users ask Cidy?</t>
  </si>
  <si>
    <t>What are examples of good user questions for Cidy?</t>
  </si>
  <si>
    <t>How does Cidy classify a question and route it to the right knowledge source?</t>
  </si>
  <si>
    <t>What happens when Cidy is uncertain or the answer has low confidence?</t>
  </si>
  <si>
    <t>What are the main components of Cidy's Copilot Studio architecture?</t>
  </si>
  <si>
    <t>Hi</t>
  </si>
  <si>
    <t>User Inquiry greeting classifier sets isGreeting=true and routes to Greeting. Greeting sends the Cidy scope message, clears Global.userQuestion and Global.awaitingNewQuestion, then returns to User Inquiry for a fresh substantive question. It should not route the greeting to Intent.</t>
  </si>
  <si>
    <t>2026-05-28</t>
  </si>
  <si>
    <t>Bonjour</t>
  </si>
  <si>
    <t>Good morning, how do I design a DA concept note?</t>
  </si>
  <si>
    <t>User Inquiry greeting classifier sets isGreeting=false because the input includes a substantive question. The input continues to Intent and routes to Formulate Response DA with funding_stream=DA and topic_area=project_planning_design.</t>
  </si>
  <si>
    <t>exit Cidy flow</t>
  </si>
  <si>
    <t>Exit Cidy Flow switches Global.cidyMode to open, sends the outside structured Cidy flow message, and continues future user messages through open conversation mode without routing the command to Intent.</t>
  </si>
  <si>
    <t>2026-05-31</t>
  </si>
  <si>
    <t>exit Cindy flow</t>
  </si>
  <si>
    <t>Exit Cidy Flow recognizes the Cindy typo, switches Global.cidyMode to open, sends the outside structured Cidy flow message, and does not route the command as an About Cidy knowledge question.</t>
  </si>
  <si>
    <t>Back to Cidy flow</t>
  </si>
  <si>
    <t>Return to Cidy topic cancels other topics, clears active Cidy state, asks for a fresh substantive question, stores it as Global.userQuestion, and routes that captured question to Intent_c8W.</t>
  </si>
  <si>
    <t>Which projects are currently active in Kenya?</t>
  </si>
  <si>
    <t>Routes directly to Formulate Response Programme Development with knowledge_domain=programme_development, funding_stream=UNCLEAR, topic_area=country_data, requires_clarification=No. Response uses the Country Data folder for active projects by country.</t>
  </si>
  <si>
    <t>2026-06-02</t>
  </si>
  <si>
    <t>list all work in argentina</t>
  </si>
  <si>
    <t>Routes directly to Formulate Response Programme Development with knowledge_domain=programme_development, funding_stream=UNCLEAR, topic_area=country_data, requires_clarification=No. Broad country work wording should use Country Data, not project evaluations, unless the user explicitly asks for evaluations.</t>
  </si>
  <si>
    <t>2026-06-08</t>
  </si>
  <si>
    <t>I'd like to see 2026 proposals.</t>
  </si>
  <si>
    <t>Routes directly to Formulate Response Programme Development with knowledge_domain=programme_development, funding_stream=UNCLEAR, topic_area=country_data, requires_clarification=No. Response uses the Country Data folder for proposal-year filtering.</t>
  </si>
  <si>
    <t>How many activities in 2025 targeted LDCs?</t>
  </si>
  <si>
    <t>Routes directly to Formulate Response Programme Development with knowledge_domain=programme_development, funding_stream=UNCLEAR, topic_area=country_data, requires_clarification=No. Response uses the Country Data folder for activity counts by year and LDC target group.</t>
  </si>
  <si>
    <t>Prod Answer</t>
  </si>
  <si>
    <t>Test Date</t>
  </si>
  <si>
    <t>Answer: Intent Identified: You are seeking a comprehensive summary of the required sections and planning/design requirements for a Development Account (DA) concept note, referencing the latest (19th tranche) guidelines, templates, and review checklists, with a focus on project planning, objectives, budget, results framework, quality assurance, internal review, submission, and implementing entity.
Required Sections for a DA Concept Note (19th Tranche):
Background: Describe the issue, context, human rights, gender, disability inclusion, demand from Member States, tentative target countries, and link to implementing entity.
Fascicle Note: Title, implementing entity and partners, SDG targets, objective, project plan for 2027–2030, budget summary, and additional required tables.
Outcomes and Outputs (Results Framework): At least two outcomes and linked outputs with strong logical linkages.
UN System Coordination: Plans for engaging RCOs and UN Country Teams, and key partnerships.
Budget Narrative: Detailed breakdown by budget class using required tables and formats.
Planning/Design Requirements:
Use the latest template (Annex 1).
Quality Assurance and Internal Review: Internal quality review using the provided checklist.
Submission Requirements: Submit twice the number of projects as funded previously, prioritize special needs countries, and meet criteria for joint projects.
Implementing Entity: Must be one of the 10 DA entities, clearly stating lead, joint, and collaborating entities.
Key Quality and Planning Considerations:
Link to tranche theme and capacity development.
Address implementing unit capacity.
Exclude evaluation costs at concept note stage.
Provide all data in requested format.
Reference to Latest Guidelines, Templates, and Checklists:
Guidelines: 19th tranche Concept Note Guidelines.
Template: 19th tranche Concept Note Template (Annex 1).
Review Checklist: 19th tranche Concept Note Review Checklist for DA Focal Points.
Sources:
T19 Concept Note Guidelines.docx
T19 Concept Note Template.docx
T19 Concept Note Review Checklist for DA Focal Points.docx
Confidence: Very High</t>
  </si>
  <si>
    <t>FoundAnswer</t>
  </si>
  <si>
    <t>AnswerQuality</t>
  </si>
  <si>
    <t>Yes</t>
  </si>
  <si>
    <t>Pass</t>
  </si>
  <si>
    <t>Answer: You are seeking a comprehensive, step-by-step overview of the process and requirements for preparing a Development Account (DA) project document for the latest tranche, including all key elements, required tools, and quality assurance steps.
Use the Most Recent Guidance and Templates
Always use the latest tranche’s guidelines and templates (currently the 19th tranche, T19) for project documents, unless an earlier tranche is specifically requested.
The main sources are the T19 Project Document Guidelines, the T19 Project Document Template, the T19 Project Document Annex (Excel), and the T19 Project Document Review Checklist for DA Focal Points.
The guidelines provide detailed instructions for each section; the template is for drafting; the Excel annex is for workplans and budget tables; the checklist is for internal review before submission.
Project Planning and Preparation Steps
Expand the concept note into a full project document, using feedback from the concept note review.
Drafting typically occurs from May to September of the relevant year (e.g., 2026 for T19).
Confirm target countries and consult the Resident Coordinator Office (RCO) in each target country during drafting.
For joint projects, ensure all jointly implementing entities agree on strategy, roles, and budget distribution before submission.
Structure and Key Elements of the Project Document
Executive Summary: Project code/title, implementing entity, jointly implementing/collaborating entities, implementing partners, end date, budget, use of IPMR, target countries, SDG relevance, and a brief description (max 300 words).
Demand, Context, and Analysis: Selection and rationale for target countries, context and situation analysis (including gender/disability/vulnerable groups), country-level analysis, and (optionally) stakeholder analysis.
Project Strategy:
Envisaged change in the countries (concrete change sought).
Theory of change narrative and main assumptions.
Results framework (objective, outcomes, indicators, baselines, means of verification, outputs).
Results-based workplan (in Excel annex).
Risks and mitigating actions.
Post-project sustainability and scaling-up.
Lessons learned from past projects.
Gender Equality and Disability Inclusion: Assign and justify gender and disability markers, ensuring alignment with the results framework.
Monitoring, Reporting, and Evaluation:
Explain monitoring arrangements, reporting intervals, and evaluation plans.
For joint projects over $1 million, include a detailed evaluation plan and annual monitoring calls.
Mandates, Partnerships, and Coordination Agreements:
Describe mandates, roles, and responsibilities of all entities.
For joint projects, confirm shared outcomes and joint outputs, and establish a Project Steering Committee.
List implementing partners and describe their roles and budget share.
Document RCO engagement for each target country.
Budget:
Complete all required budget tables in the Excel annex, following guidance in section 7 of the guidelines.
Consult finance colleagues for joint projects.
Ensure compliance with rules on staff capacity, travel, and use of consultants/partners.
Quality Assurance and Internal Review
Use the T19 Project Document Review Checklist for DA Focal Points to ensure all requirements are met before submission.
The checklist covers all sections, including budget accuracy, alignment of entities, clarity of objectives, results framework, gender/disability markers, monitoring/evaluation, and RCO engagement.
The DA Focal Point must complete the checklist and confirm internal quality assurance before submission.
Submission Process
Submit the draft project document to the DA Programme Management Team (DA-PMT) by the specified deadlines (e.g., 30 June for at least one document per entity, all by 15 September).
Submissions are accepted on a rolling basis as documents are ready.
Only submit after thorough internal review and quality control.
Implementing Entity Requirements
The lead implementing entity is responsible for overall coordination, quality assurance, and reporting.
For joint projects, all jointly implementing entities must be involved in design, implementation, monitoring, and evaluation.
The Project Steering Committee (for joint projects) oversees coordination and performance.
Summary Table of Required Tools and Elements | Element | Source/Tool | |------------------------------- |----------------------------------------------| | Guidelines | T19 Project Document Guidelines | | Drafting Template | T19 Project Document Template | | Budget/Workplan | T19 Project Document Annex (Excel) | | Quality Assurance | T19 Project Document Review Checklist | | Internal Review | DA Focal Point review and checklist | | Submission | To DA-PMT after internal QA | | Implementing Entity | Lead and (if joint) jointly implementing |
Sources:
T19 Project Document Guidelines.docx
T19 Project Document Template.docx
T19 Project Document Annex.xlsx
T19 Project Document Review Checklist for DA Focal Points.docx
readme.docx
Confidence: Very High</t>
  </si>
  <si>
    <t>Perfomance</t>
  </si>
  <si>
    <t>less than 15secs</t>
  </si>
  <si>
    <t>Answer: I was not able to find information in my knowledge sources that could answer this question.
Sources: No sources found.
Confidence: Low</t>
  </si>
  <si>
    <t>No</t>
  </si>
  <si>
    <t>Answer: Yes, under the Development Account, travel costs are considered eligible expenses. Specifically, the budget class "Travel of Staff (115)" is used exclusively for the travel of UN system-wide staff for all types of travel, including participation in expert groups, workshops, and providing advisory services. However, staff travel costs should not be included under "Grants and Contributions – Workshops/Study Tours (145)", which is reserved for the travel/DSA of participants attending seminars, workshops, study tours, and expert group meetings. The number of staff traveling per activity should be limited, especially if there are consultants traveling for the same activity. For joint projects, careful consideration should be given to the necessity of travel, and hybrid or virtual options should be utilized where possible to manage costs effectively.
Sources:
T16 Project Document Guidelines v6 final.pdf
T19 Concept Note Guidelines.docx
T18 Project Document Guidelines.docx
T19 Project Document Guidelines.docx
Confidence: Very High</t>
  </si>
  <si>
    <t>Answer: 1. Official Guidance and Requirements
Terminal evaluations are mandatory for all DA projects with a budget of USD 1 million or more and are strongly encouraged for others selected at midterm.
The process and structure are governed by the DA Project Evaluation Guidelines, the Administrative Instructions on Evaluation in the UN Secretariat (ST/AI/2021/3), and tranche-specific guidance notes. For joint projects, refer to the DA guidance note on terminal evaluation of joint projects (latest version: June 2023, V.1).
Evaluation Design Steps
Preparatory Phase
Develop a detailed tentative evaluation plan as part of the project document, including:
Timeline (evaluation report due within 9 months of project completion for projects ≥ USD 1 million; 6 months for others)
Target users and intended use of results
Management and support arrangements
Preliminary methodology
Tentative budget (up to 4% of final project budget)
Follow-up plan
Development of Terms of Reference (TOR)
Start at least 6 months before project completion.
TOR should include:
Purpose and objectives of the evaluation
Project context and description
Evaluation scope, criteria, and tentative questions
Methodology (see below)
List of key stakeholders
Organization, roles, responsibilities, workplan, and deliverables
Dissemination strategy
Evaluation budget and required evaluator qualifications
Integration of human rights, gender equality, and, where possible, disability perspectives
Required Methodology
Use a mixed-methods approach, ensuring triangulation of data sources for confidence in findings.
Typical methods include:
Desk review of project documents and data
Interviews (in-person or remote)
Focus group discussions
Online surveys
Field visits (for beneficiary feedback not easily collected remotely)
Observation of workshops/meetings
Methodology should be tailored to the project’s scope, activities, geographic coverage, and available data and budget.
For joint projects, ensure data collection covers all implementing entities, not just the lead.
Evaluation Report Structure
Use the DA project evaluation report template (or, if required, the entity’s own template with all DA-required elements included).
Key sections:
Executive summary
Description of the project (context, objectives, strategies, partners, resources, SDG links, innovative elements)
Evaluation objectives, scope, and questions
Methodology (including rationale, data sources, sampling, ethical standards, integration of gender/human rights/disability)
Findings (evidence-based, linked to criteria/questions, gender-disaggregated where relevant)
Conclusions
Recommendations (practical, feasible, directed to intended users)
Lessons learned and good practices (for broader dissemination)
Annexes (TOR, results framework, evaluation matrix, data collection tools, list of interviews/documents)
Management and Follow-up
Each implementing entity is responsible for developing a management response to recommendations within 3 months of report finalization.
Management responses and evaluation reports are published on the DA website and entities’ own sites.
Entities must track implementation of accepted recommendations.
Reference to Official Guidance
Use the latest DA Project Evaluation Guidelines, tranche-specific guidance notes, and the DA guidance note on terminal evaluation of joint projects (June 2023, V.1) for detailed instructions and templates.
Sources:
DA guidance note on terminal evaluation of joint projects v1.pdf
Guide to the Development Account 2025.pdf
T15 DA project evaluation report template (annotated).docx
T15 DA guidance note on project evaluations - re re final 2.3.2026.docx
Confidence: Very High</t>
  </si>
  <si>
    <t>Answer: To initiate a new Development Account (DA) project, follow these steps:
Understand the Planning Cycle: The DA project cycle begins about 1.5 years before the four-year implementation period. Each tranche is guided by a theme selected by the DA Steering Committee and approved by the Programme Manager.
Draft a Concept Note: This is the first required document. It should align with the tranche theme, demonstrate demand from target countries, and outline objectives, expected results, and partnerships. Use the latest concept note guidelines and template from the DA website and SharePoint. Internal quality review by the DA Focal Point is mandatory before submission, typically due mid-November of the planning year.
Shortlisting and Approval: Concept notes are reviewed by the DA-PMT, shortlisted, and approved by the DA Steering Committee and Programme Manager. Shortlisted projects are included in the UN Programme Budget for General Assembly approval.
Draft a Project Document: After shortlisting, develop a detailed project document including theory of change, results framework, monitoring plan, and budget. Use tranche-specific guidelines and templates. Internal quality assurance and consultations with Resident Coordinator Offices are required. Deadline is typically mid-September of the planning year.
Review and Finalization: The DA-PMT reviews and provides feedback. After revisions and final approval, the project is ready for fund allocation following General Assembly approval.
Required Initial Documents:
Concept Note (latest guidelines and template)
Project Document (latest guidelines and template, after shortlisting)
Always use the most recent tranche guidelines and coordinate with your DA Focal Point throughout the process.
Sources:
Guide to the Development Account 2025.pdf
T19 Concept Note Guidelines.docx
T19 Project Document Guidelines.docx
Confidence: Very High</t>
  </si>
  <si>
    <t xml:space="preserve">Answer: When starting a new Development Account (DA) project, you should always use the guidance for the most recent tranche available. The DA knowledge base specifies that the files and guidelines are organized by tranche number (e.g., T14, T15, T16, etc.), and you should reference the highest-numbered (most recent) tranche for the most up-to-date instructions. Only refer to earlier tranche guidance if you are specifically asked about a previous tranche. This ensures your project planning and documentation align with the latest requirements and processes set by the DA.
Sources:
readme.docx
Confidence: Very High
 </t>
  </si>
  <si>
    <t>Answer: Yes, there is a checklist available for reviewing Development Account (DA) concept notes. The checklist is designed to assist DA Focal Points in reviewing each concept note before submission. It covers key sections such as:
General: Ensuring the correct template is used and that the implementing section has sufficient resources.
Background: Explanation of the issue, context, target countries, demand, and connection to the implementing entity’s work.
Fascicle Note: Format, objective, project plan, and word count.
Additional Data: Completion and formatting of required tables.
Outcomes and Outputs: Sufficiency and clarity of outputs and their link to outcomes.
UN System: Specific plans for engaging Resident Coordinator Offices (RCOs) and explanation of partnerships.
Budget Summary: Correct format and accuracy of figures.
The checklist is intended to ensure internal quality review and adherence to guidelines before submission to the DA Team. It is referenced in the most recent tranche guidance and is available as an annex to the concept note guidelines for the 19th tranche.
Sources:
T19 Concept Note Review Checklist for DA Focal Points.docx
T19 Concept Note Guidelines.docx
Confidence: Very High</t>
  </si>
  <si>
    <t>CorrectSources</t>
  </si>
  <si>
    <t>Cidy is designed to support DESA capacity-development knowledge, including DA, RPTC, UNPDF/PDF, Programme Development, Project Evaluation evidence, and Cidy-related guidance. This question appears outside that scope.</t>
  </si>
  <si>
    <t>Summarize recommendations from project evaluations related to stakeholder engagement.</t>
  </si>
  <si>
    <t>What lessons learned are available from past capacity development projects?</t>
  </si>
  <si>
    <t>I am sorry, I was not able to find a confident answer to your question in my knowledge sources. I am still under development and new knowledge is coming in every week. See ​Cidy Knowledge Status​ for more information.
Sent at June 16 at 4:53 PM
Bot said: I am sorry, I was not able to find a confident answer to your question in my knowledge sources. I am still under development and new knowledge is coming in every week. See ​Cidy Knowledge Status​ for more information. One or more links in the message.
Bot said:
Answer: I was not able to find information in my knowledge sources that could answer this question.
Sources: No sources found.
Confidence: Low</t>
  </si>
  <si>
    <t>Message about checking status shows up before the "answer"; Don't even see formulate response program dev in copilot studio but do in repo; no timer</t>
  </si>
  <si>
    <t>n/a</t>
  </si>
  <si>
    <t>What have evaluations said about DA projects?</t>
  </si>
  <si>
    <t>I am sorry, I was not able to find a confident answer to your question in my knowledge sources. I am still under development and new knowledge is coming in every week. See ​Cidy Knowledge Status​ for more information.
Sent at June 16 at 5:11 PM
Bot said: I am sorry, I was not able to find a confident answer to your question in my knowledge sources. I am still under development and new knowledge is coming in every week. See ​Cidy Knowledge Status​ for more information. One or more links in the message.
Bot said:
Answer: I was not able to find information in my knowledge sources that could answer this question.
Sources: No sources found.
Confidence: Low</t>
  </si>
  <si>
    <t>No timer, no formulate pd; naming convention is different, fixed timer</t>
  </si>
  <si>
    <t>Routes to Programme Development with topic_area=projects_evaluations, using DA as context if available. It should not route to DA evaluation design guidance.</t>
  </si>
  <si>
    <t>Same as above</t>
  </si>
  <si>
    <t>Answer: Evaluation reports and lessons learned sections in project documentation highlight several common weaknesses in project design, based on findings from past evaluations:
Insufficient problem analysis: Projects sometimes fail to clearly define the main problem and its underlying causes, leading to objectives that are too broad or not well-targeted. This can result in interventions that do not address the most critical issues or the needs of the most vulnerable groups.
Lack of specificity in objectives and outcomes: Objectives and outcomes may be vaguely formulated, making it difficult to measure progress or success. Clear, specific, and measurable objectives are essential for effective monitoring and evaluation.
Weak logical framework: The causal links between activities, outputs, outcomes, and objectives may not be well-articulated. This can lead to gaps in the results chain, where outputs do not sufficiently contribute to intended outcomes.
Inadequate stakeholder analysis and engagement: Projects may overlook the importance of identifying and involving all relevant stakeholders, including those most affected by the problem. This can result in limited buy-in, reduced effectiveness, and sustainability challenges.
Limited integration of cross-cutting issues: Gender, disability, and social inclusion considerations are sometimes insufficiently addressed in project design, which can undermine the project's relevance and impact for marginalized groups.
Unrealistic targets and indicators: Targets may be set without a clear baseline or may not be achievable within the project timeframe and resources. Indicators may lack specificity or not align with the intended outcomes, making it hard to track progress.
Insufficient risk analysis and mitigation planning: Projects may not adequately identify potential risks or develop robust mitigation strategies, leaving them vulnerable to unforeseen challenges.
Lessons from previous projects not incorporated: There is often a lack of systematic use of findings and recommendations from past evaluations to inform new project designs, leading to repeated mistakes or missed opportunities for improvement.
These weaknesses are typically identified in the "lessons learned" sections of project documents and are used to inform improvements in future project design, results frameworks, and cross-cutting approaches. Addressing these issues is crucial for enhancing project effectiveness, sustainability, and impact.
Sources:
​generic_project_document_guidelines_final.docx​
project_final_report_0.docx
Confidence: High</t>
  </si>
  <si>
    <t>Keeps saying Reponse time -1s?</t>
  </si>
  <si>
    <t>1s</t>
  </si>
  <si>
    <t>Same as other no-answers</t>
  </si>
  <si>
    <t>Will just refer to this response as "same" moving forward; timer still an issue</t>
  </si>
  <si>
    <t>Same</t>
  </si>
  <si>
    <t>Checked "project evaluations" knowledge folder</t>
  </si>
  <si>
    <t>Seems like correct routing?</t>
  </si>
  <si>
    <t>Checked knowledge folder, not empty; seems like most prog dev questions can't be found and show "-1s" response times?</t>
  </si>
  <si>
    <t>Goes to about cidy, not form prog dev</t>
  </si>
  <si>
    <t>Answer: A final report template for a capacity development project should include the following key sections:
Key Project Features
Project title
Project code
Lead implementing entity
Start and end dates (original and actual)
List of beneficiary countries
Implementing partners (UN system and other partners, excluding beneficiary governments)
Narrative of Results
Overview of results (max. 2 pages)
Success story and photos (max. 300 words)
Detailed Review of Achievements and Implementation
Table reviewing performance indicators: expected accomplishments, baseline (T0), actual measure at project end (T1), and comments on progress
Table reviewing activities: list of activities implemented, comments on variations from project design
Table of deliverables: categories (e.g., workshops, training events, policies, studies, reports, toolkits), and their numbers at national, regional, and global/interregional levels
Challenges Encountered and Actions Taken
Table describing challenges faced and actions taken to address them
Good Practices, Innovative Approaches, and Key Lessons Learned
Description of effective practices and lessons for future programming
Sustainability
Explanation of how achievements are likely to be sustained beyond project completion
Replication of Project Activities and Multiplier Effects
Information on replication or plans for replication in other countries or contexts
Supplementary Funding
Table of financial leveraging: source/donor, purpose, year, amount raised (cash and in-kind), and description
Additional Information
Any other relevant information (e.g., media coverage, publications, links)
Financial Information
Table summarizing budget/allotment, revisions, explanations, and total expenditure by category (e.g., staff costs, consultants, travel, contractual services, operating expenses, supplies, equipment, workshops/study tours, total)
This structure ensures comprehensive reporting on project implementation, results, challenges, sustainability, and financials, supporting accountability and institutional learning for future projects.
Sources:
​project_final_report_0.docx​
​generic_project_document_guidelines_final.docx​
Confidence: High</t>
  </si>
  <si>
    <t xml:space="preserve">This one is able to be found </t>
  </si>
  <si>
    <t>192s</t>
  </si>
  <si>
    <t>Answer: The latest available general guidance for preparing a project document for UN Development Account-style projects includes the following key sections:
Theory of Change
Provide a narrative explaining how the project’s outputs and outcomes will lead to the desired change, identifying the main assumptions behind these causal links.
Use “if, then, because” statements to clarify the logic (e.g., “If capacity is strengthened, then outcomes will improve, because stakeholders will have the necessary skills.”).
Address how the project will promote social inclusion, gender equality, and address the needs of marginalized groups.
Clearly state the evidence or rationale for selecting specific outputs and how they address root causes of the problem.
Identify and review assumptions, and adjust outputs/outcomes if faulty assumptions are found.
Risk Assessment
Analyze possible risks that may affect project success, including external factors (e.g., political instability).
For each risk, specify corresponding mitigation actions or corrective measures.
Present risks and mitigation actions in a table format for clarity.
Workplan
Develop a result-based workplan that breaks down activities, outputs, outcomes, and timelines.
For each output, specify the activities, responsible parties, expected results, and delivery schedule (by year and quarter).
Ensure consistency between the narrative, workplan, and budget details.
Budget Justification
Provide a detailed justification for each budget class, linking costs to specific project outputs.
Disaggregate costs and work months by output where possible.
Budget classes typically include: Staff and Other Personnel Costs (FT30_CLASS_010), Supplies, Commodities, and Materials (FT30_CLASS_130), Equipment, Vehicles, and Furniture (FT30_CLASS_135), Contractual Services (FT30_CLASS_120), Travel (FT30_CLASS_160), Transfers and Grants to Counterparts (FT30_CLASS_140), General Operating and Other Direct Costs (FT30_CLASS_125), and Indirect Support Costs (FT30_CLASS_155).
Include a summary table of planned annual expenditures and cumulative financial implementation rates.
This guidance is applicable to standard project document preparation and aligns with the most recent templates and instructions for UN capacity development projects.
Sources:
​generic_project_document_guidelines_final.docx​
Confidence: High</t>
  </si>
  <si>
    <t>********Response time says 898 seconds, is it carrying over from the question before?</t>
  </si>
  <si>
    <t>something wrong</t>
  </si>
  <si>
    <t>Answer: DESA should use an implementing partner (IP) agreement instead of procurement when the primary objective is to work jointly with another partner to achieve shared development objectives, rather than simply purchasing a product or service from the market. The key distinctions are:
Use an Implementing Partner Agreement when:
The UN is primarily interested in collaborating to implement an activity or set of activities that deliver on its programme of work.
The focus is on achieving development results in line with the UN’s objectives, and the partner may also be a beneficiary of UN capacity development support.
The UN is interested in the results and performance of a joint project and may want input or control over the process.
The UN reimburses actual costs and monitors the partner’s performance, with the right to audit the partner’s accounts.
The activity furthers the mandate and objectives of the partner, who may contribute resources (e.g., staff time, follow-up).
Use Procurement when:
The UN is obtaining a product or service for which a commercial market exists (e.g., meeting facilities, printing, professional services).
The main interest is best value for money, purchased in a transparent and competitive manner.
The vendor is responsible for delivering the product or service, and the UN does not audit the vendor’s accounts.
The UN pays for the product or service, and the vendor requires full reimbursement of all costs incurred.
Key Policy Points:
The decision does not depend solely on the type of organization (government, intergovernmental, non-governmental, not-for-profit), but on whether the UN is purchasing a market-based product/service or working jointly towards shared objectives.
For most DESA work with government and intergovernmental partners, the IP modality is expected.
Selecting the correct modality for non-governmental partners requires careful analysis.
A reference table in the guidelines further illustrates which types of activities normally fit each modality (e.g., national execution of a development project typically uses IP, while construction services use procurement).
Sources:
​desa_interim_ip_and_grants_guidelines_25_september_2018.docx​
​annexes_ipg_guidelines_25_september_2018_approved.docx​
Confidence: Very High</t>
  </si>
  <si>
    <t>Has to be accumulating the time, now &gt; 1000s</t>
  </si>
  <si>
    <t xml:space="preserve">Answer: Before approving a grant to an implementing partner, DESA requires a comprehensive due diligence process, which may be adjusted based on the funding stream and organizational policy. The key steps and requirements include:
Completion of a Due Diligence Questionnaire:
The requesting Division must complete a due diligence questionnaire for all proposed implementing partners or grantees. This covers legal status, financial management, delivery capacity, project management tools, risk of fraud, and compliance with special funding conditions.
For non-government organizations, additional questions address public interest objectives, affiliations with the private sector, reputational risks, and the rationale for partner selection after considering alternatives.
Comparative Review:
As much as possible, a comparative review of at least three organizations should be conducted to ensure open and transparent selection, unless a specific partner is requested by a donor, in which case early referral to CDO is required for due diligence.
Risk Assessment:
The Division must assess the partner’s capacity and past performance, including audits, assurance activities, and programme monitoring, especially when executing activities at the country level.
Documentation and Verification:
Legal status documents, financial statements, and evidence of sound financial management must be reviewed.
Checks against Security Council sanctions, World Bank ineligible lists, and the UN List of Suspended and Removed Vendors are required.
Assessment of Safeguards:
The partner’s capacity to prevent or mitigate risks such as sexual exploitation and abuse must be evaluated, including evidence of regular training and policies.
Conflict of Interest and Framework Agreements:
Any real or potential conflicts of interest must be disclosed.
If a framework partnership agreement exists, it should be consulted.
Funding Stream-Specific Requirements:
The due diligence process must ensure compliance with any special conditions or limitations of the funding source, such as donor-imposed requirements or restrictions on indirect costs.
Submission and Review:
The completed due diligence questionnaire and draft agreement are submitted to the Capacity Development Office (CDO) for review and coordination with the Implementing Partner and Grantee Committee (IPGC), which focuses on reputational and significant risks, and ensures the process was open and alternatives considered.
Approval:
The IPGC makes a recommendation, and the agreement is signed by the Chief, CDO, or cleared for signature by another DESA official.
This process ensures that all grants and implementing partner agreements are subject to rigorous vetting, risk assessment, and compliance with both UN and donor requirements before approval. Requirements may be further tailored based on the specific funding stream or organizational policy in place at the time of the grant.
Sources:
​desa_interim_ip_and_grants_guidelines_25_september_2018.docx​
​annexes_ipg_guidelines_25_september_2018_approved.docx​
Confidence: High
Answer: Before approving a grant to an implementing partner, DESA requires a comprehensive due diligence process, which may be adjusted based on the funding stream and organizational policy. The key steps and requirements include:
Completion of a Due Diligence Questionnaire:
The requesting Division must complete a due diligence questionnaire for all proposed implementing partners or grantees. This covers legal status, financial management, delivery capacity, project management tools, risk of fraud, and compliance with special funding conditions.
For non-government organizations, additional questions address public interest objectives, affiliations with the private sector, reputational risks, and the rationale for partner selection after considering alternatives.
Comparative Review:
As much as possible, a comparative review of at least three organizations should be conducted to ensure open and transparent selection, unless a specific partner is requested by a donor, in which case early referral to CDO is required for due diligence.
Risk Assessment:
The Division must assess the partner’s capacity and past performance, including audits, assurance activities, and programme monitoring, especially when executing activities at the country level.
Documentation and Verification:
Legal status documents, financial statements, and evidence of sound financial management must be reviewed.
Checks against Security Council sanctions, World Bank ineligible lists, and the UN List of Suspended and Removed Vendors are required.
Assessment of Safeguards:
The partner’s capacity to prevent or mitigate risks such as sexual exploitation and abuse must be evaluated, including evidence of regular training and policies.
Conflict of Interest and Framework Agreements:
Any real or potential conflicts of interest must be disclosed.
If a framework partnership agreement exists, it should be consulted.
Funding Stream-Specific Requirements:
The due diligence process must ensure compliance with any special conditions or limitations of the funding source, such as donor-imposed requirements or restrictions on indirect costs.
Submission and Review:
The completed due diligence questionnaire and draft agreement are submitted to the Capacity Development Office (CDO) for review and coordination with the Implementing Partner and Grantee Committee (IPGC), which focuses on reputational and significant risks, and ensures the process was open and alternatives considered.
Approval:
The IPGC makes a recommendation, and the agreement is signed by the Chief, CDO, or cleared for signature by another DESA official.
This process ensures that all grants and implementing partner agreements are subject to rigorous vetting, risk assessment, and compliance with both UN and donor requirements before approval. Requirements may be further tailored based on the specific funding stream or organizational policy in place at the time of the grant.
Sources:
​desa_interim_ip_and_grants_guidelines_25_september_2018.docx​
​annexes_ipg_guidelines_25_september_2018_approved.docx​
Confidence: High
Answer: Before approving a grant to an implementing partner, DESA requires a comprehensive due diligence process, which may be adjusted based on the funding stream and organizational policy. The key steps and requirements include:
Completion of a Due Diligence Questionnaire:
The requesting Division must complete a due diligence questionnaire for all proposed implementing partners or grantees. This covers legal status, financial management, delivery capacity, project management tools, risk of fraud, and compliance with special funding conditions.
For non-government organizations, additional questions address public interest objectives, affiliations with the private sector, reputational risks, and the rationale for partner selection after considering alternatives.
Comparative Review:
As much as possible, a comparative review of at least three organizations should be conducted to ensure open and transparent selection, unless a specific partner is requested by a donor, in which case early referral to CDO is required for due diligence.
Risk Assessment:
The Division must assess the partner’s capacity and past performance, including audits, assurance activities, and programme monitoring, especially when executing activities at the country level.
Documentation and Verification:
Legal status documents, financial statements, and evidence of sound financial management must be reviewed.
Checks against Security Council sanctions, World Bank ineligible lists, and the UN List of Suspended and Removed Vendors are required.
Assessment of Safeguards:
The partner’s capacity to prevent or mitigate risks such as sexual exploitation and abuse must be evaluated, including evidence of regular training and policies.
Conflict of Interest and Framework Agreements:
Any real or potential conflicts of interest must be disclosed.
If a framework partnership agreement exists, it should be consulted.
Funding Stream-Specific Requirements:
The due diligence process must ensure compliance with any special conditions or limitations of the funding source, such as donor-imposed requirements or restrictions on indirect costs.
Submission and Review:
The completed due diligence questionnaire and draft agreement are submitted to the Capacity Development Office (CDO) for review and coordination with the Implementing Partner and Grantee Committee (IPGC), which focuses on reputational and significant risks, and ensures the process was open and alternatives considered.
Approval:
The IPGC makes a recommendation, and the agreement is signed by the Chief, CDO, or cleared for signature by another DESA official.
This process ensures that all grants and implementing partner agreements are subject to rigorous vetting, risk assessment, and compliance with both UN and donor requirements before approval. Requirements may be further tailored based on the specific funding stream or organizational policy in place at the time of the grant.
Sources:
​desa_interim_ip_and_grants_guidelines_25_september_2018.docx​
​annexes_ipg_guidelines_25_september_2018_approved.docx​
Confidence: High
</t>
  </si>
  <si>
    <t>minus 1</t>
  </si>
  <si>
    <t xml:space="preserve">Answer: The official IPGC (Implementing Partner and Grantee Committee) decision template and the partner evaluation template required for grants within DESA’s implementing partners and grants procedures are provided in the annexes to the DESA Interim Guidelines on IPs and Grants (version 25 September 2018). Specifically:
The IPGC decision template is found in Annex 4. It includes fields for the date of meeting, implementing partner or grantee, amount of fund transfer, recommendation status (recommended, not recommended, or returned for additional information), committee member signatures, and a brief statement of reasons or dissenting opinions. It also includes a section for approval by the Under-Secretary-General or delegated official.
The partner evaluation template is found in Annex 5. This template is used to assess whether the implementing partner or grantee delivered the activities covered by the agreement, their effectiveness, timeliness, quality of implementation, quality of financial and substantive reports, and any concerns about possible fraud or mismanagement. It includes rating scales and space for comments, as well as staff and division director sign-off.
Both templates are part of the annexes file that accompanies the main guidelines and are referenced as required operational tools for DESA’s grants and implementing partner agreements procedures. These annexes are available in the document titled "annexes_ipg_guidelines_25_september_2018_approved.docx".
Sources:
​annexes_ipg_guidelines_25_september_2018_approved.docx​
Confidence: Very High
</t>
  </si>
  <si>
    <t>not noting moving forward until fix</t>
  </si>
  <si>
    <t>Not showing timer debug; same as before with programme dev?</t>
  </si>
  <si>
    <t>not showing</t>
  </si>
  <si>
    <t>Answer: Cidy is an AI-enabled knowledge assistant specifically designed to support UN DESA’s capacity-development work. Its core functionality is to help staff efficiently find, interpret, draft, and apply approved internal guidance throughout the capacity-development project lifecycle. Here’s how Cidy operates:
Governed Service Layer: Cidy functions as a governed service over curated CDPMO knowledge, project workflows, templates, reporting rules, escalation paths, and feedback loops.
Intent Classification: When a user asks a capacity-development question, Cidy classifies the intent of the query and only requests clarification if necessary.
Targeted Search: It searches the most relevant, approved knowledge sources to draft a grounded answer.
Confidence Assessment: Cidy assesses the confidence of its response, shares sources, and collects feedback or escalates the query to a human expert if the answer is low-confidence, incomplete, or out of scope.
Guidance Delivery: It routes questions to the correct knowledge domain (e.g., Development Account, RPTC, Programme Development, or general CDPMO guidance), explains procedures, supports project lifecycle work, and points users to the right templates and quality checks.
Institutional Memory: Cidy captures recurring questions and unresolved issues to improve the knowledge base over time.
Escalation Path: If Cidy cannot provide a satisfactory answer, it offers a path for human follow-up.
Cidy is distinct from general-purpose chatbots because it uses only curated, approved institutional knowledge, classifies and enriches user requests, aims for source-grounded answers, and is designed with governance, feedback, and human-in-the-loop support. It is not a replacement for staff judgment or formal approvals and does not function as a general internet search tool. Cidy is currently an active prototype or developing institutional service, not a fully mature production system across all domains.
Sources:
​Cidy - What It Does.docx​
Confidence: Very High</t>
  </si>
  <si>
    <t>Still missing debug timer -- old agent version?</t>
  </si>
  <si>
    <t xml:space="preserve">Answer: Cidy, the UN DESA Capacity Development Programme Management Office (CDPMO) knowledge assistant, uses a curated set of internal, approved knowledge sources specifically selected for capacity-development work. These sources are organized into knowledge domains and topic areas, each mapped to specific response files (YAMLs) that determine which knowledge folders or documents are searched. The main domains currently covered include:
Development Account (DA): Project planning/design, evaluation design, and general guidance, with mapped folders for each topic area.
Regular Programme of Technical Cooperation (RPTC): Guidance/templates and progress reports, with many topic labels mapped as aliases to these sources.
Programme Development: Includes steering committee records, TAG meetings, project evaluations, guidelines/templates, implementing partners/grants, Resident Coordinator engagement, and strategic documents. These are marked for review as the knowledge base matures.
General CDPMO: A general knowledge folder mapped for broad or unclassified questions.
Peace and Development Trust Fund / UNPDF and About Cidy: These domains are recognized but currently lack mapped knowledge folders or response files.
Cidy does not use general internet sources; it is anchored in official DESA/CDPMO materials to ensure answers are grounded in institutional guidance. When a specific topic area is not matched, fallback sources are used as safety nets, but these should not be confused with primary topic coverage. The knowledge base is actively maintained and updated, with some areas marked as requiring further validation or development as the system matures.
Sources:
​Cidy - Topics Covered.docx​
Confidence: Very High
</t>
  </si>
  <si>
    <t>Answer: The responsibility for maintaining Cidy's knowledge base and ensuring its information is up to date lies with the Knowledge Control Center. This component tracks knowledge folders, source-use instructions, manager updates, route coverage, and YAML work needed to keep response topics aligned. The governance and maintenance architecture also includes an inventory generator, refresh workflow, and structural test runner to support ongoing updates and quality control. Human-in-the-loop processes are in place for unresolved or low-confidence cases, which are routed to feedback or escalation rather than being treated as definitive answers. This ensures that the knowledge base remains current and reliable as the system matures and new materials are added or updated.
Sources:
​Cidy - Architecture.docx​
Confidence: Very High</t>
  </si>
  <si>
    <t>Is this correct?</t>
  </si>
  <si>
    <t>Did get asked multiple choice; DEBUG - Pass 2 result: Broad DA source (Pass 1 was blank)
Query sent:
Response:</t>
  </si>
  <si>
    <t>Low</t>
  </si>
  <si>
    <t>No Sources Found</t>
  </si>
  <si>
    <t>Matches expected behavior: Status: needs_clarification | Domain: unclear | Funding stream: UNCLEAR | Topic area: unclear | Requires clarification: Yes | Clarification type: domain</t>
  </si>
  <si>
    <t>Asks for artifact clarification, but when selecting "project document" it then just goes to search even though It would need further clarification</t>
  </si>
  <si>
    <t>no</t>
  </si>
  <si>
    <t>low</t>
  </si>
  <si>
    <t>Asks for domain clarification, when selecting "DA", result is BLANK</t>
  </si>
  <si>
    <t>Asks for domain clarification, when selecting "project eval…", then "Answer: I was not able to find information in my knowledge sources that could answer this question."</t>
  </si>
  <si>
    <t>Answer: Cidy is designed to provide support and guidance for UN DESA capacity-development work, regardless of whether the project type or funding stream is specified. Its core function is to help staff find, interpret, draft, and apply approved internal guidance across the capacity-development project lifecycle. Cidy routes questions to the most relevant knowledge domain, explains procedures, supports project lifecycle work (including design, formulation, implementation, monitoring, evaluation, reporting, lessons learned, and closure), and points users to the correct concepts, templates, and quality checks. It operates as a governed service layer over curated CDPMO knowledge, project workflows, templates, reporting rules, escalation paths, and feedback loops. If the information provided is insufficient or ambiguous, Cidy will classify the request, seek clarification only when necessary, and escalate to human follow-up if the answer is low-confidence, incomplete, or out of scope. This ensures you receive actionable guidance even when project specifics are not fully defined.</t>
  </si>
  <si>
    <t>Very High</t>
  </si>
  <si>
    <t>I was not able to find information in my knowledge sources that could answer this question.</t>
  </si>
  <si>
    <t>Answer: When to Inform RC/RCO:
DESA should inform the RC or RCO about a planned country mission whenever there is an activity, project, request, or workshop that involves direct engagement in a country, especially if it relates to capacity development, technical assistance, or any event requiring coordination with national stakeholders.
This is particularly important for countries classified as SIDS (Small Island Developing States), LDC (Least Developed Countries), or LLDC (Landlocked Developing Countries), as these groupings often have specific coordination and reporting requirements.
Relation to Country Records and Formats:
The country card, country record, compact country file, and region/subregion identifiers (including ISO3 codes) are used to organize and track all relevant projects, requests, proposals, RPTC proposals, activities, RPTC activities, travel records, contacts, budgets, statuses, and divisions for each country.
Informing the RC/RCO ensures that these records are up-to-date and that the mission is aligned with ongoing or planned activities, avoids duplication, and supports effective coordination.
For example, Uganda’s country card lists active and planned projects, requests, RPTC activities, and financial metrics, and includes contacts for each activity. The RC/RCO should be informed to ensure these are reflected accurately in the country’s records and to facilitate coordination with local stakeholders.
Status and Groupings:
The current status of SIDS, LDC, LLDC is tracked in the country card and related files, which also indicate the relevant division (e.g., Statistics Division, Division for Public Institutions and Digital Government, Financing for Sustainable Development Office).
Missions should be reported in the context of these groupings, as they may affect the nature of the support, reporting obligations, and coordination requirements.
Source File Relevance:
The source file (e.g., compact country filename) is the authoritative record for all country-specific activities and should be updated to reflect the planned mission, including its status, budget, participants, and contact information.
Summary of Steps:
Review the country card/record for current and planned activities.
Identify the relevant division and contact listed for the country.
Notify the RC/RCO about the planned mission, referencing the country’s grouping (SIDS, LDC, LLDC) and the specific activity/project.
Update the source file to reflect the mission, including all relevant details (status, budget, participants, contacts).
Ensure coordination and reporting align with the country’s current records and groupings</t>
  </si>
  <si>
    <t>High</t>
  </si>
  <si>
    <t>Answer: Intent: You are seeking step-by-step guidance for drafting a Development Account (DA) concept note for project planning and design, using the most recent (19th tranche) guidelines.
Step-by-Step Instructions for Designing a DA Concept Note (19th Tranche):
Use the Correct Template and Guidelines
Always use the separate concept note template provided for the 19th tranche to ensure all sections are in the correct format. Reference the Concept Note Guidelines for detailed instructions on each section.
Main Elements to Include
Your concept note must contain the following sections:
Background
Fascicle Note (including Title, Implementing entity and partners, Relationship to SDG targets, Objective, Project plan for 2027–2030, Budget summary)
Additional data needed for the fascicle
Outcomes and Outputs
UN system coordination
Budget narrative
Background Section
Describe the issue the project intends to address, including broader context.
Refer to human rights-based approach, gender, and disability inclusion.
Clearly articulate demand for support from Member States (requests, needs assessments, resolutions).
Provide a tentative list of potential target countries, if known.
Explain the connection to the work of the implementing entity and its comparative advantages.
Fascicle Note
Title: Concise, positive, and thematic, including geographical scope.
Implementing entity and partners: List all DA entities involved, starting with the lead entity.
Relationship to SDG targets: List relevant SDG targets (max. 10).
Objective: State the intended goal in one sentence, referencing beneficiaries, scope, and focus.
Project plan:
Paragraph 1: Context and trigger (describe the problem and what prompted the project).
Paragraph 2: Explain the project, including the number of countries, regions, and actions enabled.
Paragraph 3: Expected progress, starting with “This work is expected to contribute to (objective), which would be demonstrated by (evidence of progress).”
Budget summary: Use the required table format, figures in thousands of USD, do not delete any categories.
Additional Data Needed for the Fascicle
Complete tables on support for countries with special needs (SIDS, LLDCs, LDCs), regions, SDGs, partnerships, consultancy requirements, and deliverables.
Outcomes and Outputs
Outcomes: Describe expected changes achievable within the project timeframe and budget.
Outputs: List specific actions, products, or reports needed to achieve outcomes. Use the format: OC1, OP1.1, OP1.2, etc.
UN System Coordination
Elaborate on coordination/implementation with Resident Coordinator Offices (RCOs) and UN Country Teams.
Provide a table with target countries and planned RCO involvement.
Briefly describe partnerships, including roles of DA and non-DA entities.
Budget Narrative
Provide detailed justification for each budget category (Other staff costs, Consultants, Travel, Contractual services, General operating expenses, Grants and contributions).
Use the required format and ensure figures add up to the total.
Quality Assurance
Before submission, conduct an internal review using the provided checklist to ensure all sections are complete, accurate, and follow the required format.
Timeline
Be aware of key deadlines for submission, review, and approval as outlined in the guidelines.
Challenges and Tips:
Ensure demand is clearly demonstrated and the logic underpinning the project is sound.
Focus on countries with special needs (LDCs, LLDCs, SIDS) and consider joint projects for additional funding.
Follow the format strictly to reduce editing and facilitate review.
Sources:
​T19 Concept Note Guidelines.docx​
​T19 Concept Note Template.docx​
​T19 Concept Note Review Checklist for DA Focal Points.docx​
Confidence: Very High</t>
  </si>
  <si>
    <t>yes</t>
  </si>
  <si>
    <t>YEs</t>
  </si>
  <si>
    <t>47 seconds</t>
  </si>
  <si>
    <t>Successful</t>
  </si>
  <si>
    <t>Cidy Quality Tracker</t>
  </si>
  <si>
    <t>Not Tested</t>
  </si>
  <si>
    <t>Found Answer Global</t>
  </si>
  <si>
    <t>Found Answer per topic area</t>
  </si>
  <si>
    <t>Not tested</t>
  </si>
  <si>
    <t>Found Answer per path</t>
  </si>
  <si>
    <t>Column1</t>
  </si>
  <si>
    <t>General Notes</t>
  </si>
  <si>
    <t>Claude Found?</t>
  </si>
  <si>
    <t>Vague path - domain clarification [Not Sure]</t>
  </si>
  <si>
    <t>Vague path - template clarification [Not Sure]</t>
  </si>
  <si>
    <t>Vague path - report clarification [Not Sure]</t>
  </si>
  <si>
    <t>Vague path - guidance clarification [Not Sure]</t>
  </si>
  <si>
    <t>Vague path - project support clarification [Not Sure]</t>
  </si>
  <si>
    <t>Out of scope - weather [OOS]</t>
  </si>
  <si>
    <t>Out of scope - sports [OOS]</t>
  </si>
  <si>
    <t>Out of scope - poem [OOS]</t>
  </si>
  <si>
    <t>Out of scope - laptop help [OOS]</t>
  </si>
  <si>
    <t>Out of scope - stock investment [OOS]</t>
  </si>
  <si>
    <t>Happy path - RPTC activity proposal template [RPTC]</t>
  </si>
  <si>
    <t>Happy path - RPTC common reporting standards [RPTC]</t>
  </si>
  <si>
    <t>Happy path - RPTC IRA guidance [RPTC]</t>
  </si>
  <si>
    <t>Happy path - RPTC activity report template [RPTC]</t>
  </si>
  <si>
    <t>Happy path - RPTC planning and approval process [RPTC]</t>
  </si>
  <si>
    <t>Happy path - RPTC 2024 achievements [RPTC]</t>
  </si>
  <si>
    <t>Happy path - RPTC 2024 countries requests interventions [RPTC]</t>
  </si>
  <si>
    <t>Happy path - RPTC implementing entities [RPTC]</t>
  </si>
  <si>
    <t>Happy path - RPTC SIDS LDC LLDC support [RPTC]</t>
  </si>
  <si>
    <t>Happy path - RPTC future recommendations [RPTC]</t>
  </si>
  <si>
    <t>Happy path - Programme Development Resident Coordinator mission notice [RPTC]</t>
  </si>
  <si>
    <t>Happy path - Programme Development UNSDCF alignment [PD]</t>
  </si>
  <si>
    <t>Happy path - Programme Development UNCT membership [PD]</t>
  </si>
  <si>
    <t>Happy path - Programme Development strategic priorities [PD]</t>
  </si>
  <si>
    <t>Happy path - Programme Development service delivery model [PD]</t>
  </si>
  <si>
    <t>Clarification path - Programme Development strategy from broad Cidy question [Not Sure]</t>
  </si>
  <si>
    <t>Happy path - About Cidy overview [About Cidy]</t>
  </si>
  <si>
    <t>Happy path - About Cidy comparison [About Cidy]</t>
  </si>
  <si>
    <t>Happy path - About Cidy coverage [About Cidy]</t>
  </si>
  <si>
    <t>Happy path - About Cidy user questions [About Cidy]</t>
  </si>
  <si>
    <t>Happy path - About Cidy prompt examples [About Cidy]</t>
  </si>
  <si>
    <t>Happy path - About Cidy routing flow [About Cidy]</t>
  </si>
  <si>
    <t>Happy path - About Cidy low confidence  [About Cidy]</t>
  </si>
  <si>
    <t>Happy path - About Cidy architecture  [About Cidy]</t>
  </si>
  <si>
    <t>Greeting path - English greeting only [Greeting]</t>
  </si>
  <si>
    <t>Greeting path - Multilingual greeting only  [Greeting]</t>
  </si>
  <si>
    <t>Greeting guard - greeting plus substantive question [Greeting]</t>
  </si>
  <si>
    <t>Exit Cidy flow command - exact phrase [Exit Flow]</t>
  </si>
  <si>
    <t>Exit Cidy flow command - Cindy typo [Exit Flow]</t>
  </si>
  <si>
    <t>Return to Cidy rescue path  [Exit Flow]</t>
  </si>
  <si>
    <t>Happy path - Country Data active projects by country [Country Data]</t>
  </si>
  <si>
    <t>Regression - broad country work routes to Country Data [Country Data]</t>
  </si>
  <si>
    <t>Happy path - Country Data proposal year list [Country Data]</t>
  </si>
  <si>
    <t>Happy path - Country Data LDC activity count [Country Data]</t>
  </si>
  <si>
    <t>Happy path - DA project planning [DA]</t>
  </si>
  <si>
    <t>Happy path - DA project document [DA]</t>
  </si>
  <si>
    <t>Happy path - DA monitoring and reporting [DA]</t>
  </si>
  <si>
    <t>Happy path - DA budget eligibility [DA]</t>
  </si>
  <si>
    <t>Happy path - DA Section 35 signal [DA]</t>
  </si>
  <si>
    <t>Happy path - DA evaluation design [DA]</t>
  </si>
  <si>
    <t>Happy path - DA evaluation template [DA]</t>
  </si>
  <si>
    <t>Happy path - DA general start [DA]</t>
  </si>
  <si>
    <t>Happy path - DA latest tranche [DA]</t>
  </si>
  <si>
    <t>Happy path - DA checklist [DA]</t>
  </si>
  <si>
    <t>Happy path - project evaluation evidence [Evaluation]</t>
  </si>
  <si>
    <t>Happy path - evaluation recommendations [Evaluation]</t>
  </si>
  <si>
    <t>Happy path - lessons learned [Evaluation]</t>
  </si>
  <si>
    <t>Happy path - recurring evaluation findings [Evaluation]</t>
  </si>
  <si>
    <t>Happy path - evaluation weaknesses [Evaluation]</t>
  </si>
  <si>
    <t>Happy path - partnerships in evaluations [Evaluation]</t>
  </si>
  <si>
    <t>Happy path - sustainability recommendations [Evaluation]</t>
  </si>
  <si>
    <t>Happy path - Programme Development CD Strategy [PD]</t>
  </si>
  <si>
    <t>Happy path - Programme Development Steering Committee [PD]</t>
  </si>
  <si>
    <t>Happy path - Programme Development TAG [PD]</t>
  </si>
  <si>
    <t>Happy path - Programme Development general [PD]</t>
  </si>
  <si>
    <t>Happy path - Programme Development annual progress report template [PD]</t>
  </si>
  <si>
    <t>Happy path - Programme Development final report template [PD]</t>
  </si>
  <si>
    <t>Happy path - Programme Development project document preparation [PD]</t>
  </si>
  <si>
    <t>Happy path - Programme Development implementing partner agreement [PD]</t>
  </si>
  <si>
    <t>Happy path - Programme Development grants due diligence [PD]</t>
  </si>
  <si>
    <t>Happy path - Programme Development IPGC templates [PD]</t>
  </si>
  <si>
    <t>Happy path - RPTC budget and finance [RPTC]</t>
  </si>
  <si>
    <t>Happy path - RPTC governance [RPTC]</t>
  </si>
  <si>
    <t>Happy path - RPTC roles [RPTC]</t>
  </si>
  <si>
    <t>Happy path - RPTC programme design standards [RPTC]</t>
  </si>
  <si>
    <t>Happy path - RPTC evaluation criteria [RPTC]</t>
  </si>
  <si>
    <t>Happy path - RPTC reports [RPTC]</t>
  </si>
  <si>
    <t>Happy path - PDF / UNPDF [PDF]</t>
  </si>
  <si>
    <t>Happy path - About Cidy [About Cidy]</t>
  </si>
  <si>
    <t>Happy path - About Cidy maintenance [About Cidy]</t>
  </si>
  <si>
    <t>Clarification path - fund to DA [DA]</t>
  </si>
  <si>
    <t>Clarification path - fund to RPTC [RPTC]</t>
  </si>
  <si>
    <t>Clarification path - fund to PDF [PDF]</t>
  </si>
  <si>
    <t>Clarification path - fund not sure [Not Sure]</t>
  </si>
  <si>
    <t>Clarification path - domain to DA [Not Sure]</t>
  </si>
  <si>
    <t>Clarification path - domain to Programme Development [Not Sure]</t>
  </si>
  <si>
    <t>Clarification path - domain to Evaluation Evidence [Not Sure]</t>
  </si>
  <si>
    <t>Clarification path - domain to About Cidy [Not Sure]</t>
  </si>
  <si>
    <t>Clarification path - domain to RPTC [Not Sure]</t>
  </si>
  <si>
    <t>Clarification path - domain typed DA [Not Sure]</t>
  </si>
  <si>
    <t>Clarification path - domain typed Development Account [Not Sure]</t>
  </si>
  <si>
    <t>Clarification path - domain typed UNPDF [Not Sure]</t>
  </si>
  <si>
    <t>Clarification path - artifact concept note [Not Sure]</t>
  </si>
  <si>
    <t>Clarification path - artifact evaluation report [Not Sure]</t>
  </si>
  <si>
    <t>Clarification path - artifact progress report [Not Sure]</t>
  </si>
  <si>
    <t>Clarification path - artifact management response [Not Sure]</t>
  </si>
  <si>
    <t>Clarification path - second attempt succeeds [Not Sure]</t>
  </si>
  <si>
    <t>Clarification path - max attempts dead end [Not Sure]</t>
  </si>
  <si>
    <t>Topic Area</t>
  </si>
  <si>
    <t>Ronen</t>
  </si>
  <si>
    <t>Jack</t>
  </si>
  <si>
    <t>Jon</t>
  </si>
  <si>
    <t>Tester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</si>
</sst>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name val="Calibri"/>
    </font>
    <font>
      <b/>
      <sz val="9"/>
      <name val="Calibri"/>
      <family val="2"/>
    </font>
    <font>
      <sz val="9"/>
      <name val="Calibri"/>
      <family val="2"/>
    </font>
    <font>
      <sz val="11"/>
      <name val="Calibri"/>
    </font>
    <font>
      <sz val="11"/>
      <name val="Calibri"/>
      <family val="2"/>
    </font>
    <font>
      <sz val="8"/>
      <name val="Calibri"/>
      <family val="2"/>
    </font>
    <font>
      <sz val="18"/>
      <name val="Calibri"/>
      <family val="2"/>
    </font>
  </fonts>
  <fills count="6">
    <fill>
      <patternFill patternType="none"/>
    </fill>
    <fill>
      <patternFill patternType="gray125"/>
    </fill>
    <fill>
      <patternFill patternType="solid">
        <fgColor rgb="FFFFC000"/>
        <bgColor indexed="64"/>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3" fillId="0" borderId="0" applyFont="0" applyFill="0" applyBorder="0" applyAlignment="0" applyProtection="0"/>
  </cellStyleXfs>
  <cellXfs count="27">
    <xf numFmtId="0" fontId="0" fillId="0" borderId="0" xfId="0"/>
    <xf numFmtId="0" fontId="1" fillId="0" borderId="0" xfId="0" applyFont="1" applyAlignment="1">
      <alignment wrapText="1"/>
    </xf>
    <xf numFmtId="0" fontId="1" fillId="0" borderId="0" xfId="0" applyFont="1"/>
    <xf numFmtId="0" fontId="2" fillId="0" borderId="0" xfId="0" applyFont="1"/>
    <xf numFmtId="0" fontId="2" fillId="0" borderId="0" xfId="0" applyFont="1" applyAlignment="1">
      <alignment wrapText="1"/>
    </xf>
    <xf numFmtId="14" fontId="2" fillId="0" borderId="0" xfId="0" applyNumberFormat="1" applyFont="1"/>
    <xf numFmtId="0" fontId="0" fillId="0" borderId="0" xfId="0" applyAlignment="1">
      <alignment horizontal="center"/>
    </xf>
    <xf numFmtId="0" fontId="0" fillId="2" borderId="1" xfId="0" applyFill="1" applyBorder="1" applyAlignment="1">
      <alignment horizontal="center"/>
    </xf>
    <xf numFmtId="0" fontId="0" fillId="3" borderId="1" xfId="0" applyFill="1" applyBorder="1"/>
    <xf numFmtId="9" fontId="0" fillId="3" borderId="1" xfId="1" applyFont="1" applyFill="1" applyBorder="1" applyAlignment="1">
      <alignment horizontal="center"/>
    </xf>
    <xf numFmtId="9" fontId="0" fillId="3" borderId="1" xfId="1" applyFont="1" applyFill="1" applyBorder="1" applyAlignment="1">
      <alignment horizontal="center" wrapText="1"/>
    </xf>
    <xf numFmtId="9" fontId="0" fillId="3" borderId="1" xfId="1" applyFont="1" applyFill="1" applyBorder="1" applyAlignment="1"/>
    <xf numFmtId="0" fontId="0" fillId="0" borderId="1" xfId="0" applyBorder="1"/>
    <xf numFmtId="9" fontId="0" fillId="0" borderId="1" xfId="1" applyFont="1" applyBorder="1"/>
    <xf numFmtId="0" fontId="0" fillId="0" borderId="0" xfId="0" applyBorder="1"/>
    <xf numFmtId="9" fontId="0" fillId="3" borderId="0" xfId="1" applyFont="1" applyFill="1" applyBorder="1" applyAlignment="1"/>
    <xf numFmtId="9" fontId="0" fillId="0" borderId="0" xfId="1" applyFont="1" applyBorder="1"/>
    <xf numFmtId="0" fontId="0" fillId="4" borderId="1" xfId="0" applyFill="1" applyBorder="1"/>
    <xf numFmtId="9" fontId="0" fillId="4" borderId="1" xfId="1" applyFont="1" applyFill="1" applyBorder="1"/>
    <xf numFmtId="0" fontId="4" fillId="0" borderId="0" xfId="0" applyFont="1"/>
    <xf numFmtId="0" fontId="4" fillId="3" borderId="1" xfId="0" applyFont="1" applyFill="1" applyBorder="1"/>
    <xf numFmtId="9" fontId="0" fillId="4" borderId="1" xfId="1" applyFont="1" applyFill="1" applyBorder="1" applyAlignment="1"/>
    <xf numFmtId="0" fontId="4" fillId="4" borderId="1" xfId="0" applyFont="1" applyFill="1" applyBorder="1"/>
    <xf numFmtId="0" fontId="4" fillId="0" borderId="1" xfId="0" applyFont="1" applyFill="1" applyBorder="1"/>
    <xf numFmtId="9" fontId="0" fillId="0" borderId="1" xfId="1" applyFont="1" applyFill="1" applyBorder="1" applyAlignment="1"/>
    <xf numFmtId="9" fontId="0" fillId="0" borderId="1" xfId="1" applyFont="1" applyFill="1" applyBorder="1"/>
    <xf numFmtId="0" fontId="6" fillId="5" borderId="0" xfId="0" applyFont="1" applyFill="1" applyAlignment="1">
      <alignment horizontal="center"/>
    </xf>
  </cellXfs>
  <cellStyles count="2">
    <cellStyle name="Normal" xfId="0" builtinId="0"/>
    <cellStyle name="Percent" xfId="1" builtinId="5"/>
  </cellStyles>
  <dxfs count="34">
    <dxf>
      <fill>
        <patternFill>
          <bgColor theme="9" tint="0.79998168889431442"/>
        </patternFill>
      </fill>
    </dxf>
    <dxf>
      <fill>
        <patternFill>
          <bgColor theme="5" tint="0.59996337778862885"/>
        </patternFill>
      </fill>
    </dxf>
    <dxf>
      <fill>
        <patternFill>
          <bgColor theme="9" tint="0.79998168889431442"/>
        </patternFill>
      </fill>
    </dxf>
    <dxf>
      <fill>
        <patternFill>
          <bgColor theme="5" tint="0.59996337778862885"/>
        </patternFill>
      </fill>
    </dxf>
    <dxf>
      <fill>
        <patternFill>
          <bgColor theme="9" tint="0.79998168889431442"/>
        </patternFill>
      </fill>
    </dxf>
    <dxf>
      <fill>
        <patternFill>
          <bgColor theme="5" tint="0.59996337778862885"/>
        </patternFill>
      </fill>
    </dxf>
    <dxf>
      <fill>
        <patternFill>
          <bgColor theme="9" tint="0.79998168889431442"/>
        </patternFill>
      </fill>
    </dxf>
    <dxf>
      <fill>
        <patternFill>
          <bgColor theme="5" tint="0.59996337778862885"/>
        </patternFill>
      </fill>
    </dxf>
    <dxf>
      <fill>
        <patternFill>
          <bgColor theme="9" tint="0.79998168889431442"/>
        </patternFill>
      </fill>
    </dxf>
    <dxf>
      <fill>
        <patternFill>
          <bgColor theme="5" tint="0.59996337778862885"/>
        </patternFill>
      </fill>
    </dxf>
    <dxf>
      <fill>
        <patternFill>
          <bgColor theme="9" tint="0.79998168889431442"/>
        </patternFill>
      </fill>
    </dxf>
    <dxf>
      <fill>
        <patternFill>
          <bgColor theme="5" tint="0.59996337778862885"/>
        </patternFill>
      </fill>
    </dxf>
    <dxf>
      <fill>
        <patternFill>
          <bgColor theme="9" tint="0.79998168889431442"/>
        </patternFill>
      </fill>
    </dxf>
    <dxf>
      <fill>
        <patternFill>
          <bgColor theme="5" tint="0.59996337778862885"/>
        </patternFill>
      </fill>
    </dxf>
    <dxf>
      <fill>
        <patternFill>
          <bgColor theme="9" tint="0.79998168889431442"/>
        </patternFill>
      </fill>
    </dxf>
    <dxf>
      <fill>
        <patternFill>
          <bgColor theme="5" tint="0.59996337778862885"/>
        </patternFill>
      </fill>
    </dxf>
    <dxf>
      <font>
        <b val="0"/>
        <i val="0"/>
        <strike val="0"/>
        <condense val="0"/>
        <extend val="0"/>
        <outline val="0"/>
        <shadow val="0"/>
        <u val="none"/>
        <vertAlign val="baseline"/>
        <sz val="9"/>
        <color auto="1"/>
        <name val="Calibri"/>
        <family val="2"/>
        <scheme val="none"/>
      </font>
      <numFmt numFmtId="0" formatCode="General"/>
    </dxf>
    <dxf>
      <font>
        <strike val="0"/>
        <outline val="0"/>
        <shadow val="0"/>
        <u val="none"/>
        <vertAlign val="baseline"/>
        <sz val="9"/>
        <color auto="1"/>
        <name val="Calibri"/>
        <family val="2"/>
        <scheme val="none"/>
      </font>
      <alignment horizontal="general" vertical="bottom" textRotation="0" wrapText="0" indent="0" justifyLastLine="0" shrinkToFit="0" readingOrder="0"/>
    </dxf>
    <dxf>
      <font>
        <strike val="0"/>
        <outline val="0"/>
        <shadow val="0"/>
        <u val="none"/>
        <vertAlign val="baseline"/>
        <sz val="9"/>
        <color auto="1"/>
        <name val="Calibri"/>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9"/>
        <color auto="1"/>
        <name val="Calibri"/>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9"/>
        <color auto="1"/>
        <name val="Calibri"/>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9"/>
        <color auto="1"/>
        <name val="Calibri"/>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9"/>
        <color auto="1"/>
        <name val="Calibri"/>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9"/>
        <color auto="1"/>
        <name val="Calibri"/>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9"/>
        <color auto="1"/>
        <name val="Calibri"/>
        <family val="2"/>
        <scheme val="none"/>
      </font>
    </dxf>
    <dxf>
      <font>
        <b val="0"/>
        <i val="0"/>
        <strike val="0"/>
        <condense val="0"/>
        <extend val="0"/>
        <outline val="0"/>
        <shadow val="0"/>
        <u val="none"/>
        <vertAlign val="baseline"/>
        <sz val="9"/>
        <color auto="1"/>
        <name val="Calibri"/>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9"/>
        <color auto="1"/>
        <name val="Calibri"/>
        <family val="2"/>
        <scheme val="none"/>
      </font>
    </dxf>
    <dxf>
      <font>
        <b val="0"/>
        <i val="0"/>
        <strike val="0"/>
        <condense val="0"/>
        <extend val="0"/>
        <outline val="0"/>
        <shadow val="0"/>
        <u val="none"/>
        <vertAlign val="baseline"/>
        <sz val="9"/>
        <color auto="1"/>
        <name val="Calibri"/>
        <family val="2"/>
        <scheme val="none"/>
      </font>
      <alignment horizontal="general" vertical="bottom" textRotation="0" wrapText="0" indent="0" justifyLastLine="0" shrinkToFit="0" readingOrder="0"/>
    </dxf>
    <dxf>
      <font>
        <strike val="0"/>
        <outline val="0"/>
        <shadow val="0"/>
        <u val="none"/>
        <vertAlign val="baseline"/>
        <sz val="9"/>
        <color auto="1"/>
        <name val="Calibri"/>
        <family val="2"/>
        <scheme val="none"/>
      </font>
      <alignment horizontal="general" vertical="bottom" textRotation="0" wrapText="1" indent="0" justifyLastLine="0" shrinkToFit="0" readingOrder="0"/>
    </dxf>
    <dxf>
      <font>
        <strike val="0"/>
        <outline val="0"/>
        <shadow val="0"/>
        <u val="none"/>
        <vertAlign val="baseline"/>
        <sz val="9"/>
        <color auto="1"/>
        <name val="Calibri"/>
        <family val="2"/>
        <scheme val="none"/>
      </font>
      <alignment horizontal="general" vertical="bottom" textRotation="0" wrapText="0" indent="0" justifyLastLine="0" shrinkToFit="0" readingOrder="0"/>
    </dxf>
    <dxf>
      <font>
        <b/>
        <i val="0"/>
        <strike val="0"/>
        <condense val="0"/>
        <extend val="0"/>
        <outline val="0"/>
        <shadow val="0"/>
        <u val="none"/>
        <vertAlign val="baseline"/>
        <sz val="9"/>
        <color auto="1"/>
        <name val="Calibri"/>
        <family val="2"/>
        <scheme val="none"/>
      </font>
    </dxf>
    <dxf>
      <font>
        <strike val="0"/>
        <outline val="0"/>
        <shadow val="0"/>
        <u val="none"/>
        <vertAlign val="baseline"/>
        <sz val="9"/>
        <color auto="1"/>
        <name val="Calibri"/>
        <family val="2"/>
        <scheme val="none"/>
      </font>
      <alignment horizontal="general" vertical="bottom" textRotation="0" wrapText="0" indent="0" justifyLastLine="0" shrinkToFit="0" readingOrder="0"/>
    </dxf>
    <dxf>
      <font>
        <strike val="0"/>
        <outline val="0"/>
        <shadow val="0"/>
        <u val="none"/>
        <vertAlign val="baseline"/>
        <sz val="9"/>
        <color auto="1"/>
        <name val="Calibri"/>
        <family val="2"/>
        <scheme val="none"/>
      </font>
      <alignment horizontal="general" vertical="bottom" textRotation="0" wrapText="0" indent="0" justifyLastLine="0" shrinkToFit="0" readingOrder="0"/>
    </dxf>
    <dxf>
      <font>
        <strike val="0"/>
        <outline val="0"/>
        <shadow val="0"/>
        <u val="none"/>
        <vertAlign val="baseline"/>
        <sz val="9"/>
        <color auto="1"/>
        <name val="Calibri"/>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estCases" displayName="TestCases" ref="A1:O101" headerRowDxfId="30" dataDxfId="31" totalsRowDxfId="33">
  <autoFilter ref="A1:O101" xr:uid="{00000000-0009-0000-0100-000001000000}"/>
  <tableColumns count="15">
    <tableColumn id="1" xr3:uid="{00000000-0010-0000-0000-000001000000}" name="Scenario" dataDxfId="29"/>
    <tableColumn id="18" xr3:uid="{B1128424-75DC-409F-B2C1-1B9B2D2BE585}" name="Topic Area" dataDxfId="16">
      <calculatedColumnFormula>_xlfn.TEXTBEFORE(_xlfn.TEXTAFTER(A2,"[",-1),"]")</calculatedColumnFormula>
    </tableColumn>
    <tableColumn id="2" xr3:uid="{00000000-0010-0000-0000-000002000000}" name="Test Question" dataDxfId="28"/>
    <tableColumn id="6" xr3:uid="{68F948D1-0E8A-4480-8723-80EC07BAA04C}" name="Prod Answer" dataDxfId="27"/>
    <tableColumn id="13" xr3:uid="{6CF077A5-1D67-4BFD-AD61-EA3BB6391EDB}" name="General Notes" dataDxfId="26"/>
    <tableColumn id="8" xr3:uid="{FC7C6CC2-66C4-4B78-8F9E-DC4824CA4968}" name="FoundAnswer" dataDxfId="25"/>
    <tableColumn id="14" xr3:uid="{DB95A44B-76DF-4500-AB45-139306638DF9}" name="Claude Found?" dataDxfId="24"/>
    <tableColumn id="9" xr3:uid="{551CDDA9-7BAE-4AE5-8237-BD7504F9E735}" name="AnswerQuality" dataDxfId="23"/>
    <tableColumn id="11" xr3:uid="{EC4A9B6F-8976-43CC-A78B-D4C6C117B8BA}" name="CorrectSources" dataDxfId="22"/>
    <tableColumn id="12" xr3:uid="{8AF5338E-8524-4734-9FCB-D3197EB1FB54}" name="Test Date" dataDxfId="21"/>
    <tableColumn id="7" xr3:uid="{30840C4C-93AB-4657-A3EE-B277ADF5F742}" name="Perfomance" dataDxfId="20"/>
    <tableColumn id="10" xr3:uid="{DB32ACFF-3AD3-4851-952B-2F2090D84F8D}" name="Clarification" dataDxfId="19"/>
    <tableColumn id="3" xr3:uid="{00000000-0010-0000-0000-000003000000}" name="Expected Behavior" dataDxfId="18"/>
    <tableColumn id="4" xr3:uid="{00000000-0010-0000-0000-000004000000}" name="Date Created" dataDxfId="17"/>
    <tableColumn id="5" xr3:uid="{00000000-0010-0000-0000-000005000000}" name="Column1" dataDxfId="3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338D8-DB2A-43C2-9BD0-A363B638F4AB}">
  <sheetPr codeName="Sheet2"/>
  <dimension ref="A1:T104"/>
  <sheetViews>
    <sheetView tabSelected="1" workbookViewId="0">
      <selection activeCell="E9" sqref="E9"/>
    </sheetView>
  </sheetViews>
  <sheetFormatPr defaultRowHeight="14.5" x14ac:dyDescent="0.35"/>
  <cols>
    <col min="1" max="1" width="4.7265625" customWidth="1"/>
    <col min="2" max="2" width="5.08984375" customWidth="1"/>
    <col min="3" max="3" width="9.81640625" bestFit="1" customWidth="1"/>
    <col min="6" max="6" width="4.7265625" customWidth="1"/>
    <col min="7" max="7" width="27.7265625" bestFit="1" customWidth="1"/>
    <col min="8" max="8" width="12" customWidth="1"/>
    <col min="11" max="11" width="9.453125" bestFit="1" customWidth="1"/>
    <col min="12" max="12" width="5.90625" customWidth="1"/>
    <col min="13" max="13" width="20.90625" bestFit="1" customWidth="1"/>
    <col min="16" max="16" width="9.81640625" bestFit="1" customWidth="1"/>
  </cols>
  <sheetData>
    <row r="1" spans="1:20" ht="23.5" x14ac:dyDescent="0.55000000000000004">
      <c r="A1" s="26" t="s">
        <v>260</v>
      </c>
      <c r="B1" s="26"/>
      <c r="C1" s="26"/>
      <c r="D1" s="26"/>
      <c r="E1" s="26"/>
      <c r="F1" s="26"/>
      <c r="G1" s="26"/>
      <c r="H1" s="26"/>
      <c r="I1" s="26"/>
      <c r="J1" s="26"/>
      <c r="K1" s="26"/>
      <c r="L1" s="26"/>
      <c r="M1" s="26"/>
      <c r="N1" s="26"/>
      <c r="O1" s="26"/>
      <c r="P1" s="26"/>
      <c r="Q1" s="26"/>
      <c r="R1" s="26"/>
      <c r="S1" s="26"/>
      <c r="T1" s="26"/>
    </row>
    <row r="3" spans="1:20" x14ac:dyDescent="0.35">
      <c r="C3" s="7" t="s">
        <v>262</v>
      </c>
      <c r="D3" s="7"/>
      <c r="E3" s="7"/>
      <c r="G3" s="7" t="s">
        <v>263</v>
      </c>
      <c r="H3" s="7"/>
      <c r="I3" s="7"/>
      <c r="J3" s="7"/>
      <c r="K3" s="7"/>
      <c r="M3" s="7" t="s">
        <v>265</v>
      </c>
      <c r="N3" s="7"/>
      <c r="O3" s="7"/>
      <c r="P3" s="7"/>
    </row>
    <row r="4" spans="1:20" x14ac:dyDescent="0.35">
      <c r="C4" s="8" t="s">
        <v>188</v>
      </c>
      <c r="D4" s="9">
        <f>COUNTIF('Test Cases'!F:F,"Yes")/COUNTA('Test Cases'!F:F)</f>
        <v>0.4098360655737705</v>
      </c>
      <c r="E4" s="9"/>
      <c r="G4" s="8"/>
      <c r="H4" s="20" t="s">
        <v>371</v>
      </c>
      <c r="I4" s="11" t="s">
        <v>188</v>
      </c>
      <c r="J4" s="11" t="s">
        <v>194</v>
      </c>
      <c r="K4" s="12" t="s">
        <v>264</v>
      </c>
      <c r="M4" s="12"/>
      <c r="N4" s="12" t="s">
        <v>188</v>
      </c>
      <c r="O4" s="12" t="s">
        <v>194</v>
      </c>
      <c r="P4" s="12" t="s">
        <v>261</v>
      </c>
    </row>
    <row r="5" spans="1:20" x14ac:dyDescent="0.35">
      <c r="C5" s="8" t="s">
        <v>194</v>
      </c>
      <c r="D5" s="9">
        <f>COUNTIF('Test Cases'!F:F,"No")/COUNTA('Test Cases'!F:F)</f>
        <v>0.57377049180327866</v>
      </c>
      <c r="E5" s="9"/>
      <c r="G5" s="23" t="str" cm="1">
        <f t="array" ref="G5:G15">_xlfn._xlws.SORT(_xlfn.UNIQUE(_xlfn._xlws.FILTER('Test Cases'!B2:B1000,'Test Cases'!B2:B1000&lt;&gt;"")))</f>
        <v>About Cidy</v>
      </c>
      <c r="H5" s="23"/>
      <c r="I5" s="24" cm="1">
        <f t="array" ref="I5:I15">_xlfn.MAP(_xlfn.ANCHORARRAY(G5),_xlfn.LAMBDA(_xlpm.topic,
  _xlfn.LET(
    _xlpm.topics,'Test Cases'!B2:B1000,
    _xlpm.answers,'Test Cases'!F2:F1000,
    _xlpm.denom,COUNTIF(_xlpm.topics,_xlpm.topic),
    IFERROR(SUM((_xlpm.topics=_xlpm.topic)*(_xlpm.answers="Yes"))/_xlpm.denom,"")
  )
))</f>
        <v>0.18181818181818182</v>
      </c>
      <c r="J5" s="24" cm="1">
        <f t="array" ref="J5:J15">_xlfn.MAP(_xlfn.ANCHORARRAY(G5),_xlfn.LAMBDA(_xlpm.topic,
  _xlfn.LET(
    _xlpm.topics,'Test Cases'!B2:B1000,
    _xlpm.answers,'Test Cases'!F2:F1000,
    _xlpm.denom,COUNTIF(_xlpm.topics,_xlpm.topic),
    IFERROR(SUM((_xlpm.topics=_xlpm.topic)*(_xlpm.answers="No"))/_xlpm.denom,"")
  )
))</f>
        <v>0.45454545454545453</v>
      </c>
      <c r="K5" s="25" cm="1">
        <f t="array" ref="K5:K15">_xlfn.MAP(_xlfn.ANCHORARRAY(G5),_xlfn.LAMBDA(_xlpm.topic,
  _xlfn.LET(
    _xlpm.topics,'Test Cases'!B2:B1000,
    _xlpm.answers,'Test Cases'!F2:F1000,
    _xlpm.denom,COUNTIF(_xlpm.topics,_xlpm.topic),
    IFERROR(SUM((_xlpm.topics=_xlpm.topic)*(_xlpm.answers=""))/_xlpm.denom,"")
  )
))</f>
        <v>0.36363636363636365</v>
      </c>
      <c r="M5" s="12" t="str" cm="1">
        <f t="array" ref="M5:M12">_xlfn.LET(
  _xlpm.src,_xlfn._xlws.FILTER('Test Cases'!A2:A1000,ISNUMBER(SEARCH("-",'Test Cases'!A2:A1000))),
  _xlpm.paths,_xlfn.MAP(_xlpm.src,_xlfn.LAMBDA(_xlpm.x,TRIM(_xlfn.TEXTBEFORE(_xlpm.x,"-")))),
  _xlfn._xlws.SORT(_xlfn.UNIQUE(_xlpm.paths))
)</f>
        <v>Clarification path</v>
      </c>
      <c r="N5" s="13" cm="1">
        <f t="array" ref="N5:N12">_xlfn.MAP(_xlfn.ANCHORARRAY(M5),_xlfn.LAMBDA(_xlpm.path,
  _xlfn.LET(
    _xlpm.src,_xlfn._xlws.FILTER('Test Cases'!A2:F1000,ISNUMBER(SEARCH("-",'Test Cases'!A2:A1000))),
    _xlpm.paths,_xlfn.MAP(INDEX(_xlpm.src,,1),_xlfn.LAMBDA(_xlpm.x,TRIM(_xlfn.TEXTBEFORE(_xlpm.x,"-")))),
    _xlpm.answers,INDEX(_xlpm.src,,6),
    _xlpm.denom,SUM(--(_xlpm.paths=_xlpm.path)),
    IFERROR(SUM((_xlpm.paths=_xlpm.path)*(_xlpm.answers="Yes"))/_xlpm.denom,"")
  )
))</f>
        <v>5.2631578947368418E-2</v>
      </c>
      <c r="O5" s="13" cm="1">
        <f t="array" ref="O5:O12">_xlfn.MAP(_xlfn.ANCHORARRAY(M5),_xlfn.LAMBDA(_xlpm.path,
  _xlfn.LET(
    _xlpm.src,_xlfn._xlws.FILTER('Test Cases'!A2:F1000,ISNUMBER(SEARCH("-",'Test Cases'!A2:A1000))),
    _xlpm.paths,_xlfn.MAP(INDEX(_xlpm.src,,1),_xlfn.LAMBDA(_xlpm.x,TRIM(_xlfn.TEXTBEFORE(_xlpm.x,"-")))),
    _xlpm.answers,INDEX(_xlpm.src,,6),
    _xlpm.denom,SUM(--(_xlpm.paths=_xlpm.path)),
    IFERROR(SUM((_xlpm.paths=_xlpm.path)*(_xlpm.answers="No"))/_xlpm.denom,"")
  )
))</f>
        <v>5.2631578947368418E-2</v>
      </c>
      <c r="P5" s="13" cm="1">
        <f t="array" ref="P5:P12">_xlfn.MAP(_xlfn.ANCHORARRAY(M5),_xlfn.LAMBDA(_xlpm.path,
  _xlfn.LET(
    _xlpm.src,_xlfn._xlws.FILTER('Test Cases'!A2:F1000,ISNUMBER(SEARCH("-",'Test Cases'!A2:A1000))),
    _xlpm.paths,_xlfn.MAP(INDEX(_xlpm.src,,1),_xlfn.LAMBDA(_xlpm.x,TRIM(_xlfn.TEXTBEFORE(_xlpm.x,"-")))),
    _xlpm.answers,INDEX(_xlpm.src,,6),
    _xlpm.denom,SUM(--(_xlpm.paths=_xlpm.path)),
    IFERROR(SUM((_xlpm.paths=_xlpm.path)*(_xlpm.answers=""))/_xlpm.denom,"")
  )
))</f>
        <v>0.89473684210526316</v>
      </c>
    </row>
    <row r="6" spans="1:20" x14ac:dyDescent="0.35">
      <c r="C6" s="8" t="s">
        <v>261</v>
      </c>
      <c r="D6" s="10">
        <f>COUNTBLANK('Test Cases'!F2:F101)/ROWS('Test Cases'!F2:F101)</f>
        <v>0.4</v>
      </c>
      <c r="E6" s="9"/>
      <c r="F6" s="19"/>
      <c r="G6" s="17" t="str">
        <v>Country Data</v>
      </c>
      <c r="H6" s="22" t="s">
        <v>368</v>
      </c>
      <c r="I6" s="21">
        <v>0</v>
      </c>
      <c r="J6" s="21">
        <v>0</v>
      </c>
      <c r="K6" s="18">
        <v>1</v>
      </c>
      <c r="M6" s="12" t="str">
        <v>Exit Cidy flow command</v>
      </c>
      <c r="N6" s="13">
        <v>0</v>
      </c>
      <c r="O6" s="13">
        <v>0</v>
      </c>
      <c r="P6" s="13">
        <v>1</v>
      </c>
    </row>
    <row r="7" spans="1:20" x14ac:dyDescent="0.35">
      <c r="F7" s="19"/>
      <c r="G7" s="17" t="str">
        <v>DA</v>
      </c>
      <c r="H7" s="22" t="s">
        <v>369</v>
      </c>
      <c r="I7" s="21">
        <v>0.81818181818181823</v>
      </c>
      <c r="J7" s="21">
        <v>0.18181818181818182</v>
      </c>
      <c r="K7" s="18">
        <v>0</v>
      </c>
      <c r="M7" s="12" t="str">
        <v>Greeting guard</v>
      </c>
      <c r="N7" s="13">
        <v>1</v>
      </c>
      <c r="O7" s="13">
        <v>0</v>
      </c>
      <c r="P7" s="13">
        <v>0</v>
      </c>
    </row>
    <row r="8" spans="1:20" x14ac:dyDescent="0.35">
      <c r="C8" s="6"/>
      <c r="D8" s="6"/>
      <c r="E8" s="6"/>
      <c r="G8" s="12" t="str">
        <v>Evaluation</v>
      </c>
      <c r="H8" s="12"/>
      <c r="I8" s="11">
        <v>0.14285714285714285</v>
      </c>
      <c r="J8" s="11">
        <v>0.7142857142857143</v>
      </c>
      <c r="K8" s="13">
        <v>0.14285714285714285</v>
      </c>
      <c r="M8" s="12" t="str">
        <v>Greeting path</v>
      </c>
      <c r="N8" s="13">
        <v>0</v>
      </c>
      <c r="O8" s="13">
        <v>0</v>
      </c>
      <c r="P8" s="13">
        <v>1</v>
      </c>
    </row>
    <row r="9" spans="1:20" x14ac:dyDescent="0.35">
      <c r="G9" s="12" t="str">
        <v>Exit Flow</v>
      </c>
      <c r="H9" s="12"/>
      <c r="I9" s="11">
        <v>0</v>
      </c>
      <c r="J9" s="11">
        <v>0</v>
      </c>
      <c r="K9" s="13">
        <v>1</v>
      </c>
      <c r="M9" s="17" t="str">
        <v>Happy path</v>
      </c>
      <c r="N9" s="18">
        <v>0.26984126984126983</v>
      </c>
      <c r="O9" s="18">
        <v>0.52380952380952384</v>
      </c>
      <c r="P9" s="18">
        <v>0.20634920634920634</v>
      </c>
    </row>
    <row r="10" spans="1:20" x14ac:dyDescent="0.35">
      <c r="G10" s="12" t="str">
        <v>Greeting</v>
      </c>
      <c r="H10" s="12"/>
      <c r="I10" s="11">
        <v>0.33333333333333331</v>
      </c>
      <c r="J10" s="11">
        <v>0</v>
      </c>
      <c r="K10" s="13">
        <v>0.66666666666666663</v>
      </c>
      <c r="M10" s="12" t="str">
        <v>Out of scope</v>
      </c>
      <c r="N10" s="13">
        <v>1</v>
      </c>
      <c r="O10" s="13">
        <v>0</v>
      </c>
      <c r="P10" s="13">
        <v>0</v>
      </c>
    </row>
    <row r="11" spans="1:20" x14ac:dyDescent="0.35">
      <c r="G11" s="12" t="str">
        <v>Not Sure</v>
      </c>
      <c r="H11" s="12"/>
      <c r="I11" s="11">
        <v>4.7619047619047616E-2</v>
      </c>
      <c r="J11" s="11">
        <v>4.7619047619047616E-2</v>
      </c>
      <c r="K11" s="13">
        <v>0.90476190476190477</v>
      </c>
      <c r="M11" s="12" t="str">
        <v>Regression</v>
      </c>
      <c r="N11" s="13">
        <v>0</v>
      </c>
      <c r="O11" s="13">
        <v>0</v>
      </c>
      <c r="P11" s="13">
        <v>1</v>
      </c>
    </row>
    <row r="12" spans="1:20" x14ac:dyDescent="0.35">
      <c r="G12" s="12" t="str">
        <v>OOS</v>
      </c>
      <c r="H12" s="12"/>
      <c r="I12" s="11">
        <v>1</v>
      </c>
      <c r="J12" s="11">
        <v>0</v>
      </c>
      <c r="K12" s="13">
        <v>0</v>
      </c>
      <c r="M12" s="12" t="str">
        <v>Vague path</v>
      </c>
      <c r="N12" s="13">
        <v>0.2</v>
      </c>
      <c r="O12" s="13">
        <v>0.2</v>
      </c>
      <c r="P12" s="13">
        <v>0.6</v>
      </c>
    </row>
    <row r="13" spans="1:20" x14ac:dyDescent="0.35">
      <c r="F13" s="19"/>
      <c r="G13" s="17" t="str">
        <v>PD</v>
      </c>
      <c r="H13" s="22" t="s">
        <v>370</v>
      </c>
      <c r="I13" s="21">
        <v>0.2857142857142857</v>
      </c>
      <c r="J13" s="21">
        <v>0.6428571428571429</v>
      </c>
      <c r="K13" s="18">
        <v>7.1428571428571425E-2</v>
      </c>
    </row>
    <row r="14" spans="1:20" x14ac:dyDescent="0.35">
      <c r="G14" s="12" t="str">
        <v>PDF</v>
      </c>
      <c r="H14" s="12"/>
      <c r="I14" s="11">
        <v>0</v>
      </c>
      <c r="J14" s="11">
        <v>0.5</v>
      </c>
      <c r="K14" s="13">
        <v>0.5</v>
      </c>
    </row>
    <row r="15" spans="1:20" x14ac:dyDescent="0.35">
      <c r="G15" s="12" t="str">
        <v>RPTC</v>
      </c>
      <c r="H15" s="12"/>
      <c r="I15" s="11">
        <v>0.1111111111111111</v>
      </c>
      <c r="J15" s="11">
        <v>0.66666666666666663</v>
      </c>
      <c r="K15" s="13">
        <v>0.22222222222222221</v>
      </c>
    </row>
    <row r="16" spans="1:20" x14ac:dyDescent="0.35">
      <c r="G16" s="14"/>
      <c r="H16" s="14"/>
      <c r="I16" s="15"/>
      <c r="J16" s="15"/>
      <c r="K16" s="16"/>
    </row>
    <row r="17" spans="7:11" x14ac:dyDescent="0.35">
      <c r="G17" s="14"/>
      <c r="H17" s="14"/>
      <c r="I17" s="15"/>
      <c r="J17" s="15"/>
      <c r="K17" s="16"/>
    </row>
    <row r="18" spans="7:11" x14ac:dyDescent="0.35">
      <c r="G18" s="14"/>
      <c r="H18" s="14"/>
      <c r="I18" s="15"/>
      <c r="J18" s="15"/>
      <c r="K18" s="16"/>
    </row>
    <row r="19" spans="7:11" x14ac:dyDescent="0.35">
      <c r="G19" s="14"/>
      <c r="H19" s="14"/>
      <c r="I19" s="15"/>
      <c r="J19" s="15"/>
      <c r="K19" s="16"/>
    </row>
    <row r="20" spans="7:11" x14ac:dyDescent="0.35">
      <c r="G20" s="14"/>
      <c r="H20" s="14"/>
      <c r="I20" s="15"/>
      <c r="J20" s="15"/>
      <c r="K20" s="16"/>
    </row>
    <row r="21" spans="7:11" x14ac:dyDescent="0.35">
      <c r="G21" s="14"/>
      <c r="H21" s="14"/>
      <c r="I21" s="15"/>
      <c r="J21" s="15"/>
      <c r="K21" s="16"/>
    </row>
    <row r="22" spans="7:11" x14ac:dyDescent="0.35">
      <c r="G22" s="14"/>
      <c r="H22" s="14"/>
      <c r="I22" s="15"/>
      <c r="J22" s="15"/>
      <c r="K22" s="16"/>
    </row>
    <row r="23" spans="7:11" x14ac:dyDescent="0.35">
      <c r="G23" s="14"/>
      <c r="H23" s="14"/>
      <c r="I23" s="15"/>
      <c r="J23" s="15"/>
      <c r="K23" s="16"/>
    </row>
    <row r="24" spans="7:11" x14ac:dyDescent="0.35">
      <c r="G24" s="14"/>
      <c r="H24" s="14"/>
      <c r="I24" s="15"/>
      <c r="J24" s="15"/>
      <c r="K24" s="16"/>
    </row>
    <row r="25" spans="7:11" x14ac:dyDescent="0.35">
      <c r="G25" s="14"/>
      <c r="H25" s="14"/>
      <c r="I25" s="15"/>
      <c r="J25" s="15"/>
      <c r="K25" s="16"/>
    </row>
    <row r="26" spans="7:11" x14ac:dyDescent="0.35">
      <c r="G26" s="14"/>
      <c r="H26" s="14"/>
      <c r="I26" s="15"/>
      <c r="J26" s="15"/>
      <c r="K26" s="16"/>
    </row>
    <row r="27" spans="7:11" x14ac:dyDescent="0.35">
      <c r="G27" s="14"/>
      <c r="H27" s="14"/>
      <c r="I27" s="15"/>
      <c r="J27" s="15"/>
      <c r="K27" s="16"/>
    </row>
    <row r="28" spans="7:11" x14ac:dyDescent="0.35">
      <c r="G28" s="14"/>
      <c r="H28" s="14"/>
      <c r="I28" s="15"/>
      <c r="J28" s="15"/>
      <c r="K28" s="16"/>
    </row>
    <row r="29" spans="7:11" x14ac:dyDescent="0.35">
      <c r="G29" s="14"/>
      <c r="H29" s="14"/>
      <c r="I29" s="15"/>
      <c r="J29" s="15"/>
      <c r="K29" s="16"/>
    </row>
    <row r="30" spans="7:11" x14ac:dyDescent="0.35">
      <c r="G30" s="14"/>
      <c r="H30" s="14"/>
      <c r="I30" s="15"/>
      <c r="J30" s="15"/>
      <c r="K30" s="16"/>
    </row>
    <row r="31" spans="7:11" x14ac:dyDescent="0.35">
      <c r="G31" s="14"/>
      <c r="H31" s="14"/>
      <c r="I31" s="15"/>
      <c r="J31" s="15"/>
      <c r="K31" s="16"/>
    </row>
    <row r="32" spans="7:11" x14ac:dyDescent="0.35">
      <c r="G32" s="14"/>
      <c r="H32" s="14"/>
      <c r="I32" s="15"/>
      <c r="J32" s="15"/>
      <c r="K32" s="16"/>
    </row>
    <row r="33" spans="6:11" x14ac:dyDescent="0.35">
      <c r="G33" s="14"/>
      <c r="H33" s="14"/>
      <c r="I33" s="15"/>
      <c r="J33" s="15"/>
      <c r="K33" s="16"/>
    </row>
    <row r="34" spans="6:11" x14ac:dyDescent="0.35">
      <c r="G34" s="14"/>
      <c r="H34" s="14"/>
      <c r="I34" s="15"/>
      <c r="J34" s="15"/>
      <c r="K34" s="16"/>
    </row>
    <row r="35" spans="6:11" x14ac:dyDescent="0.35">
      <c r="G35" s="14"/>
      <c r="H35" s="14"/>
      <c r="I35" s="15"/>
      <c r="J35" s="15"/>
      <c r="K35" s="16"/>
    </row>
    <row r="36" spans="6:11" x14ac:dyDescent="0.35">
      <c r="G36" s="14"/>
      <c r="H36" s="14"/>
      <c r="I36" s="15"/>
      <c r="J36" s="15"/>
      <c r="K36" s="16"/>
    </row>
    <row r="37" spans="6:11" x14ac:dyDescent="0.35">
      <c r="G37" s="14"/>
      <c r="H37" s="14"/>
      <c r="I37" s="15"/>
      <c r="J37" s="15"/>
      <c r="K37" s="16"/>
    </row>
    <row r="38" spans="6:11" x14ac:dyDescent="0.35">
      <c r="F38" s="19"/>
      <c r="G38" s="14"/>
      <c r="H38" s="14"/>
      <c r="I38" s="15"/>
      <c r="J38" s="15"/>
      <c r="K38" s="16"/>
    </row>
    <row r="39" spans="6:11" x14ac:dyDescent="0.35">
      <c r="G39" s="14"/>
      <c r="H39" s="14"/>
      <c r="I39" s="15"/>
      <c r="J39" s="15"/>
      <c r="K39" s="16"/>
    </row>
    <row r="40" spans="6:11" x14ac:dyDescent="0.35">
      <c r="G40" s="14"/>
      <c r="H40" s="14"/>
      <c r="I40" s="15"/>
      <c r="J40" s="15"/>
      <c r="K40" s="16"/>
    </row>
    <row r="41" spans="6:11" x14ac:dyDescent="0.35">
      <c r="G41" s="14"/>
      <c r="H41" s="14"/>
      <c r="I41" s="15"/>
      <c r="J41" s="15"/>
      <c r="K41" s="16"/>
    </row>
    <row r="42" spans="6:11" x14ac:dyDescent="0.35">
      <c r="G42" s="14"/>
      <c r="H42" s="14"/>
      <c r="I42" s="15"/>
      <c r="J42" s="15"/>
      <c r="K42" s="16"/>
    </row>
    <row r="43" spans="6:11" x14ac:dyDescent="0.35">
      <c r="G43" s="14"/>
      <c r="H43" s="14"/>
      <c r="I43" s="15"/>
      <c r="J43" s="15"/>
      <c r="K43" s="16"/>
    </row>
    <row r="44" spans="6:11" x14ac:dyDescent="0.35">
      <c r="G44" s="14"/>
      <c r="H44" s="14"/>
      <c r="I44" s="15"/>
      <c r="J44" s="15"/>
      <c r="K44" s="16"/>
    </row>
    <row r="45" spans="6:11" x14ac:dyDescent="0.35">
      <c r="G45" s="14"/>
      <c r="H45" s="14"/>
      <c r="I45" s="15"/>
      <c r="J45" s="15"/>
      <c r="K45" s="16"/>
    </row>
    <row r="46" spans="6:11" x14ac:dyDescent="0.35">
      <c r="G46" s="14"/>
      <c r="H46" s="14"/>
      <c r="I46" s="15"/>
      <c r="J46" s="15"/>
      <c r="K46" s="16"/>
    </row>
    <row r="47" spans="6:11" x14ac:dyDescent="0.35">
      <c r="G47" s="14"/>
      <c r="H47" s="14"/>
      <c r="I47" s="15"/>
      <c r="J47" s="15"/>
      <c r="K47" s="16"/>
    </row>
    <row r="48" spans="6:11" x14ac:dyDescent="0.35">
      <c r="G48" s="14"/>
      <c r="H48" s="14"/>
      <c r="I48" s="15"/>
      <c r="J48" s="15"/>
      <c r="K48" s="16"/>
    </row>
    <row r="49" spans="7:11" x14ac:dyDescent="0.35">
      <c r="G49" s="14"/>
      <c r="H49" s="14"/>
      <c r="I49" s="15"/>
      <c r="J49" s="15"/>
      <c r="K49" s="16"/>
    </row>
    <row r="50" spans="7:11" x14ac:dyDescent="0.35">
      <c r="G50" s="14"/>
      <c r="H50" s="14"/>
      <c r="I50" s="15"/>
      <c r="J50" s="15"/>
      <c r="K50" s="16"/>
    </row>
    <row r="51" spans="7:11" x14ac:dyDescent="0.35">
      <c r="G51" s="14"/>
      <c r="H51" s="14"/>
      <c r="I51" s="15"/>
      <c r="J51" s="15"/>
      <c r="K51" s="16"/>
    </row>
    <row r="52" spans="7:11" x14ac:dyDescent="0.35">
      <c r="G52" s="14"/>
      <c r="H52" s="14"/>
      <c r="I52" s="15"/>
      <c r="J52" s="15"/>
      <c r="K52" s="16"/>
    </row>
    <row r="53" spans="7:11" x14ac:dyDescent="0.35">
      <c r="G53" s="14"/>
      <c r="H53" s="14"/>
      <c r="I53" s="15"/>
      <c r="J53" s="15"/>
      <c r="K53" s="16"/>
    </row>
    <row r="54" spans="7:11" x14ac:dyDescent="0.35">
      <c r="G54" s="14"/>
      <c r="H54" s="14"/>
      <c r="I54" s="15"/>
      <c r="J54" s="15"/>
      <c r="K54" s="16"/>
    </row>
    <row r="55" spans="7:11" x14ac:dyDescent="0.35">
      <c r="G55" s="14"/>
      <c r="H55" s="14"/>
      <c r="I55" s="15"/>
      <c r="J55" s="15"/>
      <c r="K55" s="16"/>
    </row>
    <row r="56" spans="7:11" x14ac:dyDescent="0.35">
      <c r="G56" s="14"/>
      <c r="H56" s="14"/>
      <c r="I56" s="15"/>
      <c r="J56" s="15"/>
      <c r="K56" s="16"/>
    </row>
    <row r="57" spans="7:11" x14ac:dyDescent="0.35">
      <c r="G57" s="14"/>
      <c r="H57" s="14"/>
      <c r="I57" s="15"/>
      <c r="J57" s="15"/>
      <c r="K57" s="16"/>
    </row>
    <row r="58" spans="7:11" x14ac:dyDescent="0.35">
      <c r="G58" s="14"/>
      <c r="H58" s="14"/>
      <c r="I58" s="15"/>
      <c r="J58" s="15"/>
      <c r="K58" s="16"/>
    </row>
    <row r="59" spans="7:11" x14ac:dyDescent="0.35">
      <c r="G59" s="14"/>
      <c r="H59" s="14"/>
      <c r="I59" s="15"/>
      <c r="J59" s="15"/>
      <c r="K59" s="16"/>
    </row>
    <row r="60" spans="7:11" x14ac:dyDescent="0.35">
      <c r="G60" s="14"/>
      <c r="H60" s="14"/>
      <c r="I60" s="15"/>
      <c r="J60" s="15"/>
      <c r="K60" s="16"/>
    </row>
    <row r="61" spans="7:11" x14ac:dyDescent="0.35">
      <c r="G61" s="14"/>
      <c r="H61" s="14"/>
      <c r="I61" s="15"/>
      <c r="J61" s="15"/>
      <c r="K61" s="16"/>
    </row>
    <row r="62" spans="7:11" x14ac:dyDescent="0.35">
      <c r="G62" s="14"/>
      <c r="H62" s="14"/>
      <c r="I62" s="15"/>
      <c r="J62" s="15"/>
      <c r="K62" s="16"/>
    </row>
    <row r="63" spans="7:11" x14ac:dyDescent="0.35">
      <c r="G63" s="14"/>
      <c r="H63" s="14"/>
      <c r="I63" s="15"/>
      <c r="J63" s="15"/>
      <c r="K63" s="16"/>
    </row>
    <row r="64" spans="7:11" x14ac:dyDescent="0.35">
      <c r="G64" s="14"/>
      <c r="H64" s="14"/>
      <c r="I64" s="14"/>
      <c r="J64" s="15" t="str" cm="1">
        <f t="array" ref="J64">IF($G64="","",
  _xlfn.LET(
    _xlpm.topic,$G64,
    _xlpm.src,_xlfn._xlws.FILTER('Test Cases'!A55:F1059,ISNUMBER(SEARCH("-",'Test Cases'!A55:A1059))),
    _xlpm.topics,_xlfn.MAP(INDEX(_xlpm.src,,1),_xlfn.LAMBDA(_xlpm.x,
      _xlfn.LET(
        _xlpm.t,TRIM(_xlfn.TEXTAFTER(_xlpm.x,"-")),
        IFERROR(_xlfn.TEXTBEFORE(_xlpm.t," ",2),_xlpm.t)
      )
    )),
    _xlpm.answers,INDEX(_xlpm.src,,4),
    _xlpm.denom,SUM(--(_xlpm.topics=_xlpm.topic)),
    IFERROR(SUM((_xlpm.topics=_xlpm.topic)*(_xlpm.answers="No"))/_xlpm.denom,"")
  )
)</f>
        <v/>
      </c>
      <c r="K64" s="16" t="str" cm="1">
        <f t="array" ref="K64">IF($G64="","",
  _xlfn.LET(
    _xlpm.topic,$G64,
    _xlpm.src,_xlfn._xlws.FILTER('Test Cases'!A55:F1059,ISNUMBER(SEARCH("-",'Test Cases'!A55:A1059))),
    _xlpm.topics,_xlfn.MAP(INDEX(_xlpm.src,,1),_xlfn.LAMBDA(_xlpm.x,
      _xlfn.LET(
        _xlpm.t,TRIM(_xlfn.TEXTAFTER(_xlpm.x,"-")),
        IFERROR(_xlfn.TEXTBEFORE(_xlpm.t," ",2),_xlpm.t)
      )
    )),
    _xlpm.answers,INDEX(_xlpm.src,,4),
    _xlpm.denom,SUM(--(_xlpm.topics=_xlpm.topic)),
    IFERROR(SUM((_xlpm.topics=_xlpm.topic)*(_xlpm.answers=""))/_xlpm.denom,"")
  )
)</f>
        <v/>
      </c>
    </row>
    <row r="65" spans="7:11" x14ac:dyDescent="0.35">
      <c r="G65" s="14"/>
      <c r="H65" s="14"/>
      <c r="I65" s="14"/>
      <c r="J65" s="15" t="str" cm="1">
        <f t="array" ref="J65">IF($G65="","",
  _xlfn.LET(
    _xlpm.topic,$G65,
    _xlpm.src,_xlfn._xlws.FILTER('Test Cases'!A56:F1060,ISNUMBER(SEARCH("-",'Test Cases'!A56:A1060))),
    _xlpm.topics,_xlfn.MAP(INDEX(_xlpm.src,,1),_xlfn.LAMBDA(_xlpm.x,
      _xlfn.LET(
        _xlpm.t,TRIM(_xlfn.TEXTAFTER(_xlpm.x,"-")),
        IFERROR(_xlfn.TEXTBEFORE(_xlpm.t," ",2),_xlpm.t)
      )
    )),
    _xlpm.answers,INDEX(_xlpm.src,,4),
    _xlpm.denom,SUM(--(_xlpm.topics=_xlpm.topic)),
    IFERROR(SUM((_xlpm.topics=_xlpm.topic)*(_xlpm.answers="No"))/_xlpm.denom,"")
  )
)</f>
        <v/>
      </c>
      <c r="K65" s="16" t="str" cm="1">
        <f t="array" ref="K65">IF($G65="","",
  _xlfn.LET(
    _xlpm.topic,$G65,
    _xlpm.src,_xlfn._xlws.FILTER('Test Cases'!A56:F1060,ISNUMBER(SEARCH("-",'Test Cases'!A56:A1060))),
    _xlpm.topics,_xlfn.MAP(INDEX(_xlpm.src,,1),_xlfn.LAMBDA(_xlpm.x,
      _xlfn.LET(
        _xlpm.t,TRIM(_xlfn.TEXTAFTER(_xlpm.x,"-")),
        IFERROR(_xlfn.TEXTBEFORE(_xlpm.t," ",2),_xlpm.t)
      )
    )),
    _xlpm.answers,INDEX(_xlpm.src,,4),
    _xlpm.denom,SUM(--(_xlpm.topics=_xlpm.topic)),
    IFERROR(SUM((_xlpm.topics=_xlpm.topic)*(_xlpm.answers=""))/_xlpm.denom,"")
  )
)</f>
        <v/>
      </c>
    </row>
    <row r="66" spans="7:11" x14ac:dyDescent="0.35">
      <c r="G66" s="14"/>
      <c r="H66" s="14"/>
      <c r="I66" s="14"/>
      <c r="J66" s="15" t="str" cm="1">
        <f t="array" ref="J66">IF($G66="","",
  _xlfn.LET(
    _xlpm.topic,$G66,
    _xlpm.src,_xlfn._xlws.FILTER('Test Cases'!A57:F1061,ISNUMBER(SEARCH("-",'Test Cases'!A57:A1061))),
    _xlpm.topics,_xlfn.MAP(INDEX(_xlpm.src,,1),_xlfn.LAMBDA(_xlpm.x,
      _xlfn.LET(
        _xlpm.t,TRIM(_xlfn.TEXTAFTER(_xlpm.x,"-")),
        IFERROR(_xlfn.TEXTBEFORE(_xlpm.t," ",2),_xlpm.t)
      )
    )),
    _xlpm.answers,INDEX(_xlpm.src,,4),
    _xlpm.denom,SUM(--(_xlpm.topics=_xlpm.topic)),
    IFERROR(SUM((_xlpm.topics=_xlpm.topic)*(_xlpm.answers="No"))/_xlpm.denom,"")
  )
)</f>
        <v/>
      </c>
      <c r="K66" s="16" t="str" cm="1">
        <f t="array" ref="K66">IF($G66="","",
  _xlfn.LET(
    _xlpm.topic,$G66,
    _xlpm.src,_xlfn._xlws.FILTER('Test Cases'!A57:F1061,ISNUMBER(SEARCH("-",'Test Cases'!A57:A1061))),
    _xlpm.topics,_xlfn.MAP(INDEX(_xlpm.src,,1),_xlfn.LAMBDA(_xlpm.x,
      _xlfn.LET(
        _xlpm.t,TRIM(_xlfn.TEXTAFTER(_xlpm.x,"-")),
        IFERROR(_xlfn.TEXTBEFORE(_xlpm.t," ",2),_xlpm.t)
      )
    )),
    _xlpm.answers,INDEX(_xlpm.src,,4),
    _xlpm.denom,SUM(--(_xlpm.topics=_xlpm.topic)),
    IFERROR(SUM((_xlpm.topics=_xlpm.topic)*(_xlpm.answers=""))/_xlpm.denom,"")
  )
)</f>
        <v/>
      </c>
    </row>
    <row r="67" spans="7:11" x14ac:dyDescent="0.35">
      <c r="G67" s="14"/>
      <c r="H67" s="14"/>
      <c r="I67" s="14"/>
      <c r="J67" s="15" t="str" cm="1">
        <f t="array" ref="J67">IF($G67="","",
  _xlfn.LET(
    _xlpm.topic,$G67,
    _xlpm.src,_xlfn._xlws.FILTER('Test Cases'!A58:F1062,ISNUMBER(SEARCH("-",'Test Cases'!A58:A1062))),
    _xlpm.topics,_xlfn.MAP(INDEX(_xlpm.src,,1),_xlfn.LAMBDA(_xlpm.x,
      _xlfn.LET(
        _xlpm.t,TRIM(_xlfn.TEXTAFTER(_xlpm.x,"-")),
        IFERROR(_xlfn.TEXTBEFORE(_xlpm.t," ",2),_xlpm.t)
      )
    )),
    _xlpm.answers,INDEX(_xlpm.src,,4),
    _xlpm.denom,SUM(--(_xlpm.topics=_xlpm.topic)),
    IFERROR(SUM((_xlpm.topics=_xlpm.topic)*(_xlpm.answers="No"))/_xlpm.denom,"")
  )
)</f>
        <v/>
      </c>
      <c r="K67" s="16" t="str" cm="1">
        <f t="array" ref="K67">IF($G67="","",
  _xlfn.LET(
    _xlpm.topic,$G67,
    _xlpm.src,_xlfn._xlws.FILTER('Test Cases'!A58:F1062,ISNUMBER(SEARCH("-",'Test Cases'!A58:A1062))),
    _xlpm.topics,_xlfn.MAP(INDEX(_xlpm.src,,1),_xlfn.LAMBDA(_xlpm.x,
      _xlfn.LET(
        _xlpm.t,TRIM(_xlfn.TEXTAFTER(_xlpm.x,"-")),
        IFERROR(_xlfn.TEXTBEFORE(_xlpm.t," ",2),_xlpm.t)
      )
    )),
    _xlpm.answers,INDEX(_xlpm.src,,4),
    _xlpm.denom,SUM(--(_xlpm.topics=_xlpm.topic)),
    IFERROR(SUM((_xlpm.topics=_xlpm.topic)*(_xlpm.answers=""))/_xlpm.denom,"")
  )
)</f>
        <v/>
      </c>
    </row>
    <row r="68" spans="7:11" x14ac:dyDescent="0.35">
      <c r="G68" s="14"/>
      <c r="H68" s="14"/>
      <c r="I68" s="14"/>
      <c r="J68" s="15" t="str" cm="1">
        <f t="array" ref="J68">IF($G68="","",
  _xlfn.LET(
    _xlpm.topic,$G68,
    _xlpm.src,_xlfn._xlws.FILTER('Test Cases'!A59:F1063,ISNUMBER(SEARCH("-",'Test Cases'!A59:A1063))),
    _xlpm.topics,_xlfn.MAP(INDEX(_xlpm.src,,1),_xlfn.LAMBDA(_xlpm.x,
      _xlfn.LET(
        _xlpm.t,TRIM(_xlfn.TEXTAFTER(_xlpm.x,"-")),
        IFERROR(_xlfn.TEXTBEFORE(_xlpm.t," ",2),_xlpm.t)
      )
    )),
    _xlpm.answers,INDEX(_xlpm.src,,4),
    _xlpm.denom,SUM(--(_xlpm.topics=_xlpm.topic)),
    IFERROR(SUM((_xlpm.topics=_xlpm.topic)*(_xlpm.answers="No"))/_xlpm.denom,"")
  )
)</f>
        <v/>
      </c>
      <c r="K68" s="16" t="str" cm="1">
        <f t="array" ref="K68">IF($G68="","",
  _xlfn.LET(
    _xlpm.topic,$G68,
    _xlpm.src,_xlfn._xlws.FILTER('Test Cases'!A59:F1063,ISNUMBER(SEARCH("-",'Test Cases'!A59:A1063))),
    _xlpm.topics,_xlfn.MAP(INDEX(_xlpm.src,,1),_xlfn.LAMBDA(_xlpm.x,
      _xlfn.LET(
        _xlpm.t,TRIM(_xlfn.TEXTAFTER(_xlpm.x,"-")),
        IFERROR(_xlfn.TEXTBEFORE(_xlpm.t," ",2),_xlpm.t)
      )
    )),
    _xlpm.answers,INDEX(_xlpm.src,,4),
    _xlpm.denom,SUM(--(_xlpm.topics=_xlpm.topic)),
    IFERROR(SUM((_xlpm.topics=_xlpm.topic)*(_xlpm.answers=""))/_xlpm.denom,"")
  )
)</f>
        <v/>
      </c>
    </row>
    <row r="69" spans="7:11" x14ac:dyDescent="0.35">
      <c r="G69" s="14"/>
      <c r="H69" s="14"/>
      <c r="I69" s="14"/>
      <c r="J69" s="15" t="str" cm="1">
        <f t="array" ref="J69">IF($G69="","",
  _xlfn.LET(
    _xlpm.topic,$G69,
    _xlpm.src,_xlfn._xlws.FILTER('Test Cases'!A60:F1064,ISNUMBER(SEARCH("-",'Test Cases'!A60:A1064))),
    _xlpm.topics,_xlfn.MAP(INDEX(_xlpm.src,,1),_xlfn.LAMBDA(_xlpm.x,
      _xlfn.LET(
        _xlpm.t,TRIM(_xlfn.TEXTAFTER(_xlpm.x,"-")),
        IFERROR(_xlfn.TEXTBEFORE(_xlpm.t," ",2),_xlpm.t)
      )
    )),
    _xlpm.answers,INDEX(_xlpm.src,,4),
    _xlpm.denom,SUM(--(_xlpm.topics=_xlpm.topic)),
    IFERROR(SUM((_xlpm.topics=_xlpm.topic)*(_xlpm.answers="No"))/_xlpm.denom,"")
  )
)</f>
        <v/>
      </c>
      <c r="K69" s="16" t="str" cm="1">
        <f t="array" ref="K69">IF($G69="","",
  _xlfn.LET(
    _xlpm.topic,$G69,
    _xlpm.src,_xlfn._xlws.FILTER('Test Cases'!A60:F1064,ISNUMBER(SEARCH("-",'Test Cases'!A60:A1064))),
    _xlpm.topics,_xlfn.MAP(INDEX(_xlpm.src,,1),_xlfn.LAMBDA(_xlpm.x,
      _xlfn.LET(
        _xlpm.t,TRIM(_xlfn.TEXTAFTER(_xlpm.x,"-")),
        IFERROR(_xlfn.TEXTBEFORE(_xlpm.t," ",2),_xlpm.t)
      )
    )),
    _xlpm.answers,INDEX(_xlpm.src,,4),
    _xlpm.denom,SUM(--(_xlpm.topics=_xlpm.topic)),
    IFERROR(SUM((_xlpm.topics=_xlpm.topic)*(_xlpm.answers=""))/_xlpm.denom,"")
  )
)</f>
        <v/>
      </c>
    </row>
    <row r="70" spans="7:11" x14ac:dyDescent="0.35">
      <c r="G70" s="14"/>
      <c r="H70" s="14"/>
      <c r="I70" s="14"/>
      <c r="J70" s="15" t="str" cm="1">
        <f t="array" ref="J70">IF($G70="","",
  _xlfn.LET(
    _xlpm.topic,$G70,
    _xlpm.src,_xlfn._xlws.FILTER('Test Cases'!A61:F1065,ISNUMBER(SEARCH("-",'Test Cases'!A61:A1065))),
    _xlpm.topics,_xlfn.MAP(INDEX(_xlpm.src,,1),_xlfn.LAMBDA(_xlpm.x,
      _xlfn.LET(
        _xlpm.t,TRIM(_xlfn.TEXTAFTER(_xlpm.x,"-")),
        IFERROR(_xlfn.TEXTBEFORE(_xlpm.t," ",2),_xlpm.t)
      )
    )),
    _xlpm.answers,INDEX(_xlpm.src,,4),
    _xlpm.denom,SUM(--(_xlpm.topics=_xlpm.topic)),
    IFERROR(SUM((_xlpm.topics=_xlpm.topic)*(_xlpm.answers="No"))/_xlpm.denom,"")
  )
)</f>
        <v/>
      </c>
      <c r="K70" s="16" t="str" cm="1">
        <f t="array" ref="K70">IF($G70="","",
  _xlfn.LET(
    _xlpm.topic,$G70,
    _xlpm.src,_xlfn._xlws.FILTER('Test Cases'!A61:F1065,ISNUMBER(SEARCH("-",'Test Cases'!A61:A1065))),
    _xlpm.topics,_xlfn.MAP(INDEX(_xlpm.src,,1),_xlfn.LAMBDA(_xlpm.x,
      _xlfn.LET(
        _xlpm.t,TRIM(_xlfn.TEXTAFTER(_xlpm.x,"-")),
        IFERROR(_xlfn.TEXTBEFORE(_xlpm.t," ",2),_xlpm.t)
      )
    )),
    _xlpm.answers,INDEX(_xlpm.src,,4),
    _xlpm.denom,SUM(--(_xlpm.topics=_xlpm.topic)),
    IFERROR(SUM((_xlpm.topics=_xlpm.topic)*(_xlpm.answers=""))/_xlpm.denom,"")
  )
)</f>
        <v/>
      </c>
    </row>
    <row r="71" spans="7:11" x14ac:dyDescent="0.35">
      <c r="G71" s="14"/>
      <c r="H71" s="14"/>
      <c r="I71" s="14"/>
      <c r="J71" s="15" t="str" cm="1">
        <f t="array" ref="J71">IF($G71="","",
  _xlfn.LET(
    _xlpm.topic,$G71,
    _xlpm.src,_xlfn._xlws.FILTER('Test Cases'!A62:F1066,ISNUMBER(SEARCH("-",'Test Cases'!A62:A1066))),
    _xlpm.topics,_xlfn.MAP(INDEX(_xlpm.src,,1),_xlfn.LAMBDA(_xlpm.x,
      _xlfn.LET(
        _xlpm.t,TRIM(_xlfn.TEXTAFTER(_xlpm.x,"-")),
        IFERROR(_xlfn.TEXTBEFORE(_xlpm.t," ",2),_xlpm.t)
      )
    )),
    _xlpm.answers,INDEX(_xlpm.src,,4),
    _xlpm.denom,SUM(--(_xlpm.topics=_xlpm.topic)),
    IFERROR(SUM((_xlpm.topics=_xlpm.topic)*(_xlpm.answers="No"))/_xlpm.denom,"")
  )
)</f>
        <v/>
      </c>
      <c r="K71" s="16" t="str" cm="1">
        <f t="array" ref="K71">IF($G71="","",
  _xlfn.LET(
    _xlpm.topic,$G71,
    _xlpm.src,_xlfn._xlws.FILTER('Test Cases'!A62:F1066,ISNUMBER(SEARCH("-",'Test Cases'!A62:A1066))),
    _xlpm.topics,_xlfn.MAP(INDEX(_xlpm.src,,1),_xlfn.LAMBDA(_xlpm.x,
      _xlfn.LET(
        _xlpm.t,TRIM(_xlfn.TEXTAFTER(_xlpm.x,"-")),
        IFERROR(_xlfn.TEXTBEFORE(_xlpm.t," ",2),_xlpm.t)
      )
    )),
    _xlpm.answers,INDEX(_xlpm.src,,4),
    _xlpm.denom,SUM(--(_xlpm.topics=_xlpm.topic)),
    IFERROR(SUM((_xlpm.topics=_xlpm.topic)*(_xlpm.answers=""))/_xlpm.denom,"")
  )
)</f>
        <v/>
      </c>
    </row>
    <row r="72" spans="7:11" x14ac:dyDescent="0.35">
      <c r="G72" s="14"/>
      <c r="H72" s="14"/>
      <c r="I72" s="14"/>
      <c r="J72" s="15" t="str" cm="1">
        <f t="array" ref="J72">IF($G72="","",
  _xlfn.LET(
    _xlpm.topic,$G72,
    _xlpm.src,_xlfn._xlws.FILTER('Test Cases'!A63:F1067,ISNUMBER(SEARCH("-",'Test Cases'!A63:A1067))),
    _xlpm.topics,_xlfn.MAP(INDEX(_xlpm.src,,1),_xlfn.LAMBDA(_xlpm.x,
      _xlfn.LET(
        _xlpm.t,TRIM(_xlfn.TEXTAFTER(_xlpm.x,"-")),
        IFERROR(_xlfn.TEXTBEFORE(_xlpm.t," ",2),_xlpm.t)
      )
    )),
    _xlpm.answers,INDEX(_xlpm.src,,4),
    _xlpm.denom,SUM(--(_xlpm.topics=_xlpm.topic)),
    IFERROR(SUM((_xlpm.topics=_xlpm.topic)*(_xlpm.answers="No"))/_xlpm.denom,"")
  )
)</f>
        <v/>
      </c>
      <c r="K72" s="16" t="str" cm="1">
        <f t="array" ref="K72">IF($G72="","",
  _xlfn.LET(
    _xlpm.topic,$G72,
    _xlpm.src,_xlfn._xlws.FILTER('Test Cases'!A63:F1067,ISNUMBER(SEARCH("-",'Test Cases'!A63:A1067))),
    _xlpm.topics,_xlfn.MAP(INDEX(_xlpm.src,,1),_xlfn.LAMBDA(_xlpm.x,
      _xlfn.LET(
        _xlpm.t,TRIM(_xlfn.TEXTAFTER(_xlpm.x,"-")),
        IFERROR(_xlfn.TEXTBEFORE(_xlpm.t," ",2),_xlpm.t)
      )
    )),
    _xlpm.answers,INDEX(_xlpm.src,,4),
    _xlpm.denom,SUM(--(_xlpm.topics=_xlpm.topic)),
    IFERROR(SUM((_xlpm.topics=_xlpm.topic)*(_xlpm.answers=""))/_xlpm.denom,"")
  )
)</f>
        <v/>
      </c>
    </row>
    <row r="73" spans="7:11" x14ac:dyDescent="0.35">
      <c r="G73" s="14"/>
      <c r="H73" s="14"/>
      <c r="I73" s="14"/>
      <c r="J73" s="15" t="str" cm="1">
        <f t="array" ref="J73">IF($G73="","",
  _xlfn.LET(
    _xlpm.topic,$G73,
    _xlpm.src,_xlfn._xlws.FILTER('Test Cases'!A64:F1068,ISNUMBER(SEARCH("-",'Test Cases'!A64:A1068))),
    _xlpm.topics,_xlfn.MAP(INDEX(_xlpm.src,,1),_xlfn.LAMBDA(_xlpm.x,
      _xlfn.LET(
        _xlpm.t,TRIM(_xlfn.TEXTAFTER(_xlpm.x,"-")),
        IFERROR(_xlfn.TEXTBEFORE(_xlpm.t," ",2),_xlpm.t)
      )
    )),
    _xlpm.answers,INDEX(_xlpm.src,,4),
    _xlpm.denom,SUM(--(_xlpm.topics=_xlpm.topic)),
    IFERROR(SUM((_xlpm.topics=_xlpm.topic)*(_xlpm.answers="No"))/_xlpm.denom,"")
  )
)</f>
        <v/>
      </c>
      <c r="K73" s="16" t="str" cm="1">
        <f t="array" ref="K73">IF($G73="","",
  _xlfn.LET(
    _xlpm.topic,$G73,
    _xlpm.src,_xlfn._xlws.FILTER('Test Cases'!A64:F1068,ISNUMBER(SEARCH("-",'Test Cases'!A64:A1068))),
    _xlpm.topics,_xlfn.MAP(INDEX(_xlpm.src,,1),_xlfn.LAMBDA(_xlpm.x,
      _xlfn.LET(
        _xlpm.t,TRIM(_xlfn.TEXTAFTER(_xlpm.x,"-")),
        IFERROR(_xlfn.TEXTBEFORE(_xlpm.t," ",2),_xlpm.t)
      )
    )),
    _xlpm.answers,INDEX(_xlpm.src,,4),
    _xlpm.denom,SUM(--(_xlpm.topics=_xlpm.topic)),
    IFERROR(SUM((_xlpm.topics=_xlpm.topic)*(_xlpm.answers=""))/_xlpm.denom,"")
  )
)</f>
        <v/>
      </c>
    </row>
    <row r="74" spans="7:11" x14ac:dyDescent="0.35">
      <c r="G74" s="14"/>
      <c r="H74" s="14"/>
      <c r="I74" s="14"/>
      <c r="J74" s="15" t="str" cm="1">
        <f t="array" ref="J74">IF($G74="","",
  _xlfn.LET(
    _xlpm.topic,$G74,
    _xlpm.src,_xlfn._xlws.FILTER('Test Cases'!A65:F1069,ISNUMBER(SEARCH("-",'Test Cases'!A65:A1069))),
    _xlpm.topics,_xlfn.MAP(INDEX(_xlpm.src,,1),_xlfn.LAMBDA(_xlpm.x,
      _xlfn.LET(
        _xlpm.t,TRIM(_xlfn.TEXTAFTER(_xlpm.x,"-")),
        IFERROR(_xlfn.TEXTBEFORE(_xlpm.t," ",2),_xlpm.t)
      )
    )),
    _xlpm.answers,INDEX(_xlpm.src,,4),
    _xlpm.denom,SUM(--(_xlpm.topics=_xlpm.topic)),
    IFERROR(SUM((_xlpm.topics=_xlpm.topic)*(_xlpm.answers="No"))/_xlpm.denom,"")
  )
)</f>
        <v/>
      </c>
      <c r="K74" s="16" t="str" cm="1">
        <f t="array" ref="K74">IF($G74="","",
  _xlfn.LET(
    _xlpm.topic,$G74,
    _xlpm.src,_xlfn._xlws.FILTER('Test Cases'!A65:F1069,ISNUMBER(SEARCH("-",'Test Cases'!A65:A1069))),
    _xlpm.topics,_xlfn.MAP(INDEX(_xlpm.src,,1),_xlfn.LAMBDA(_xlpm.x,
      _xlfn.LET(
        _xlpm.t,TRIM(_xlfn.TEXTAFTER(_xlpm.x,"-")),
        IFERROR(_xlfn.TEXTBEFORE(_xlpm.t," ",2),_xlpm.t)
      )
    )),
    _xlpm.answers,INDEX(_xlpm.src,,4),
    _xlpm.denom,SUM(--(_xlpm.topics=_xlpm.topic)),
    IFERROR(SUM((_xlpm.topics=_xlpm.topic)*(_xlpm.answers=""))/_xlpm.denom,"")
  )
)</f>
        <v/>
      </c>
    </row>
    <row r="75" spans="7:11" x14ac:dyDescent="0.35">
      <c r="G75" s="14"/>
      <c r="H75" s="14"/>
      <c r="I75" s="14"/>
      <c r="J75" s="15" t="str" cm="1">
        <f t="array" ref="J75">IF($G75="","",
  _xlfn.LET(
    _xlpm.topic,$G75,
    _xlpm.src,_xlfn._xlws.FILTER('Test Cases'!A66:F1070,ISNUMBER(SEARCH("-",'Test Cases'!A66:A1070))),
    _xlpm.topics,_xlfn.MAP(INDEX(_xlpm.src,,1),_xlfn.LAMBDA(_xlpm.x,
      _xlfn.LET(
        _xlpm.t,TRIM(_xlfn.TEXTAFTER(_xlpm.x,"-")),
        IFERROR(_xlfn.TEXTBEFORE(_xlpm.t," ",2),_xlpm.t)
      )
    )),
    _xlpm.answers,INDEX(_xlpm.src,,4),
    _xlpm.denom,SUM(--(_xlpm.topics=_xlpm.topic)),
    IFERROR(SUM((_xlpm.topics=_xlpm.topic)*(_xlpm.answers="No"))/_xlpm.denom,"")
  )
)</f>
        <v/>
      </c>
      <c r="K75" s="16" t="str" cm="1">
        <f t="array" ref="K75">IF($G75="","",
  _xlfn.LET(
    _xlpm.topic,$G75,
    _xlpm.src,_xlfn._xlws.FILTER('Test Cases'!A66:F1070,ISNUMBER(SEARCH("-",'Test Cases'!A66:A1070))),
    _xlpm.topics,_xlfn.MAP(INDEX(_xlpm.src,,1),_xlfn.LAMBDA(_xlpm.x,
      _xlfn.LET(
        _xlpm.t,TRIM(_xlfn.TEXTAFTER(_xlpm.x,"-")),
        IFERROR(_xlfn.TEXTBEFORE(_xlpm.t," ",2),_xlpm.t)
      )
    )),
    _xlpm.answers,INDEX(_xlpm.src,,4),
    _xlpm.denom,SUM(--(_xlpm.topics=_xlpm.topic)),
    IFERROR(SUM((_xlpm.topics=_xlpm.topic)*(_xlpm.answers=""))/_xlpm.denom,"")
  )
)</f>
        <v/>
      </c>
    </row>
    <row r="76" spans="7:11" x14ac:dyDescent="0.35">
      <c r="G76" s="14"/>
      <c r="H76" s="14"/>
      <c r="I76" s="14"/>
      <c r="J76" s="15" t="str" cm="1">
        <f t="array" ref="J76">IF($G76="","",
  _xlfn.LET(
    _xlpm.topic,$G76,
    _xlpm.src,_xlfn._xlws.FILTER('Test Cases'!A67:F1071,ISNUMBER(SEARCH("-",'Test Cases'!A67:A1071))),
    _xlpm.topics,_xlfn.MAP(INDEX(_xlpm.src,,1),_xlfn.LAMBDA(_xlpm.x,
      _xlfn.LET(
        _xlpm.t,TRIM(_xlfn.TEXTAFTER(_xlpm.x,"-")),
        IFERROR(_xlfn.TEXTBEFORE(_xlpm.t," ",2),_xlpm.t)
      )
    )),
    _xlpm.answers,INDEX(_xlpm.src,,4),
    _xlpm.denom,SUM(--(_xlpm.topics=_xlpm.topic)),
    IFERROR(SUM((_xlpm.topics=_xlpm.topic)*(_xlpm.answers="No"))/_xlpm.denom,"")
  )
)</f>
        <v/>
      </c>
      <c r="K76" s="16" t="str" cm="1">
        <f t="array" ref="K76">IF($G76="","",
  _xlfn.LET(
    _xlpm.topic,$G76,
    _xlpm.src,_xlfn._xlws.FILTER('Test Cases'!A67:F1071,ISNUMBER(SEARCH("-",'Test Cases'!A67:A1071))),
    _xlpm.topics,_xlfn.MAP(INDEX(_xlpm.src,,1),_xlfn.LAMBDA(_xlpm.x,
      _xlfn.LET(
        _xlpm.t,TRIM(_xlfn.TEXTAFTER(_xlpm.x,"-")),
        IFERROR(_xlfn.TEXTBEFORE(_xlpm.t," ",2),_xlpm.t)
      )
    )),
    _xlpm.answers,INDEX(_xlpm.src,,4),
    _xlpm.denom,SUM(--(_xlpm.topics=_xlpm.topic)),
    IFERROR(SUM((_xlpm.topics=_xlpm.topic)*(_xlpm.answers=""))/_xlpm.denom,"")
  )
)</f>
        <v/>
      </c>
    </row>
    <row r="77" spans="7:11" x14ac:dyDescent="0.35">
      <c r="G77" s="14"/>
      <c r="H77" s="14"/>
      <c r="I77" s="14"/>
      <c r="J77" s="15" t="str" cm="1">
        <f t="array" ref="J77">IF($G77="","",
  _xlfn.LET(
    _xlpm.topic,$G77,
    _xlpm.src,_xlfn._xlws.FILTER('Test Cases'!A68:F1072,ISNUMBER(SEARCH("-",'Test Cases'!A68:A1072))),
    _xlpm.topics,_xlfn.MAP(INDEX(_xlpm.src,,1),_xlfn.LAMBDA(_xlpm.x,
      _xlfn.LET(
        _xlpm.t,TRIM(_xlfn.TEXTAFTER(_xlpm.x,"-")),
        IFERROR(_xlfn.TEXTBEFORE(_xlpm.t," ",2),_xlpm.t)
      )
    )),
    _xlpm.answers,INDEX(_xlpm.src,,4),
    _xlpm.denom,SUM(--(_xlpm.topics=_xlpm.topic)),
    IFERROR(SUM((_xlpm.topics=_xlpm.topic)*(_xlpm.answers="No"))/_xlpm.denom,"")
  )
)</f>
        <v/>
      </c>
      <c r="K77" s="16" t="str" cm="1">
        <f t="array" ref="K77">IF($G77="","",
  _xlfn.LET(
    _xlpm.topic,$G77,
    _xlpm.src,_xlfn._xlws.FILTER('Test Cases'!A68:F1072,ISNUMBER(SEARCH("-",'Test Cases'!A68:A1072))),
    _xlpm.topics,_xlfn.MAP(INDEX(_xlpm.src,,1),_xlfn.LAMBDA(_xlpm.x,
      _xlfn.LET(
        _xlpm.t,TRIM(_xlfn.TEXTAFTER(_xlpm.x,"-")),
        IFERROR(_xlfn.TEXTBEFORE(_xlpm.t," ",2),_xlpm.t)
      )
    )),
    _xlpm.answers,INDEX(_xlpm.src,,4),
    _xlpm.denom,SUM(--(_xlpm.topics=_xlpm.topic)),
    IFERROR(SUM((_xlpm.topics=_xlpm.topic)*(_xlpm.answers=""))/_xlpm.denom,"")
  )
)</f>
        <v/>
      </c>
    </row>
    <row r="78" spans="7:11" x14ac:dyDescent="0.35">
      <c r="G78" s="14"/>
      <c r="H78" s="14"/>
      <c r="I78" s="14"/>
      <c r="J78" s="15" t="str" cm="1">
        <f t="array" ref="J78">IF($G78="","",
  _xlfn.LET(
    _xlpm.topic,$G78,
    _xlpm.src,_xlfn._xlws.FILTER('Test Cases'!A69:F1073,ISNUMBER(SEARCH("-",'Test Cases'!A69:A1073))),
    _xlpm.topics,_xlfn.MAP(INDEX(_xlpm.src,,1),_xlfn.LAMBDA(_xlpm.x,
      _xlfn.LET(
        _xlpm.t,TRIM(_xlfn.TEXTAFTER(_xlpm.x,"-")),
        IFERROR(_xlfn.TEXTBEFORE(_xlpm.t," ",2),_xlpm.t)
      )
    )),
    _xlpm.answers,INDEX(_xlpm.src,,4),
    _xlpm.denom,SUM(--(_xlpm.topics=_xlpm.topic)),
    IFERROR(SUM((_xlpm.topics=_xlpm.topic)*(_xlpm.answers="No"))/_xlpm.denom,"")
  )
)</f>
        <v/>
      </c>
      <c r="K78" s="16" t="str" cm="1">
        <f t="array" ref="K78">IF($G78="","",
  _xlfn.LET(
    _xlpm.topic,$G78,
    _xlpm.src,_xlfn._xlws.FILTER('Test Cases'!A69:F1073,ISNUMBER(SEARCH("-",'Test Cases'!A69:A1073))),
    _xlpm.topics,_xlfn.MAP(INDEX(_xlpm.src,,1),_xlfn.LAMBDA(_xlpm.x,
      _xlfn.LET(
        _xlpm.t,TRIM(_xlfn.TEXTAFTER(_xlpm.x,"-")),
        IFERROR(_xlfn.TEXTBEFORE(_xlpm.t," ",2),_xlpm.t)
      )
    )),
    _xlpm.answers,INDEX(_xlpm.src,,4),
    _xlpm.denom,SUM(--(_xlpm.topics=_xlpm.topic)),
    IFERROR(SUM((_xlpm.topics=_xlpm.topic)*(_xlpm.answers=""))/_xlpm.denom,"")
  )
)</f>
        <v/>
      </c>
    </row>
    <row r="79" spans="7:11" x14ac:dyDescent="0.35">
      <c r="G79" s="14"/>
      <c r="H79" s="14"/>
      <c r="I79" s="14"/>
      <c r="J79" s="15" t="str" cm="1">
        <f t="array" ref="J79">IF($G79="","",
  _xlfn.LET(
    _xlpm.topic,$G79,
    _xlpm.src,_xlfn._xlws.FILTER('Test Cases'!A70:F1074,ISNUMBER(SEARCH("-",'Test Cases'!A70:A1074))),
    _xlpm.topics,_xlfn.MAP(INDEX(_xlpm.src,,1),_xlfn.LAMBDA(_xlpm.x,
      _xlfn.LET(
        _xlpm.t,TRIM(_xlfn.TEXTAFTER(_xlpm.x,"-")),
        IFERROR(_xlfn.TEXTBEFORE(_xlpm.t," ",2),_xlpm.t)
      )
    )),
    _xlpm.answers,INDEX(_xlpm.src,,4),
    _xlpm.denom,SUM(--(_xlpm.topics=_xlpm.topic)),
    IFERROR(SUM((_xlpm.topics=_xlpm.topic)*(_xlpm.answers="No"))/_xlpm.denom,"")
  )
)</f>
        <v/>
      </c>
      <c r="K79" s="16" t="str" cm="1">
        <f t="array" ref="K79">IF($G79="","",
  _xlfn.LET(
    _xlpm.topic,$G79,
    _xlpm.src,_xlfn._xlws.FILTER('Test Cases'!A70:F1074,ISNUMBER(SEARCH("-",'Test Cases'!A70:A1074))),
    _xlpm.topics,_xlfn.MAP(INDEX(_xlpm.src,,1),_xlfn.LAMBDA(_xlpm.x,
      _xlfn.LET(
        _xlpm.t,TRIM(_xlfn.TEXTAFTER(_xlpm.x,"-")),
        IFERROR(_xlfn.TEXTBEFORE(_xlpm.t," ",2),_xlpm.t)
      )
    )),
    _xlpm.answers,INDEX(_xlpm.src,,4),
    _xlpm.denom,SUM(--(_xlpm.topics=_xlpm.topic)),
    IFERROR(SUM((_xlpm.topics=_xlpm.topic)*(_xlpm.answers=""))/_xlpm.denom,"")
  )
)</f>
        <v/>
      </c>
    </row>
    <row r="80" spans="7:11" x14ac:dyDescent="0.35">
      <c r="G80" s="14"/>
      <c r="H80" s="14"/>
      <c r="I80" s="14"/>
      <c r="J80" s="15" t="str" cm="1">
        <f t="array" ref="J80">IF($G80="","",
  _xlfn.LET(
    _xlpm.topic,$G80,
    _xlpm.src,_xlfn._xlws.FILTER('Test Cases'!A71:F1075,ISNUMBER(SEARCH("-",'Test Cases'!A71:A1075))),
    _xlpm.topics,_xlfn.MAP(INDEX(_xlpm.src,,1),_xlfn.LAMBDA(_xlpm.x,
      _xlfn.LET(
        _xlpm.t,TRIM(_xlfn.TEXTAFTER(_xlpm.x,"-")),
        IFERROR(_xlfn.TEXTBEFORE(_xlpm.t," ",2),_xlpm.t)
      )
    )),
    _xlpm.answers,INDEX(_xlpm.src,,4),
    _xlpm.denom,SUM(--(_xlpm.topics=_xlpm.topic)),
    IFERROR(SUM((_xlpm.topics=_xlpm.topic)*(_xlpm.answers="No"))/_xlpm.denom,"")
  )
)</f>
        <v/>
      </c>
      <c r="K80" s="16" t="str" cm="1">
        <f t="array" ref="K80">IF($G80="","",
  _xlfn.LET(
    _xlpm.topic,$G80,
    _xlpm.src,_xlfn._xlws.FILTER('Test Cases'!A71:F1075,ISNUMBER(SEARCH("-",'Test Cases'!A71:A1075))),
    _xlpm.topics,_xlfn.MAP(INDEX(_xlpm.src,,1),_xlfn.LAMBDA(_xlpm.x,
      _xlfn.LET(
        _xlpm.t,TRIM(_xlfn.TEXTAFTER(_xlpm.x,"-")),
        IFERROR(_xlfn.TEXTBEFORE(_xlpm.t," ",2),_xlpm.t)
      )
    )),
    _xlpm.answers,INDEX(_xlpm.src,,4),
    _xlpm.denom,SUM(--(_xlpm.topics=_xlpm.topic)),
    IFERROR(SUM((_xlpm.topics=_xlpm.topic)*(_xlpm.answers=""))/_xlpm.denom,"")
  )
)</f>
        <v/>
      </c>
    </row>
    <row r="81" spans="7:11" x14ac:dyDescent="0.35">
      <c r="G81" s="14"/>
      <c r="H81" s="14"/>
      <c r="I81" s="14"/>
      <c r="J81" s="15" t="str" cm="1">
        <f t="array" ref="J81">IF($G81="","",
  _xlfn.LET(
    _xlpm.topic,$G81,
    _xlpm.src,_xlfn._xlws.FILTER('Test Cases'!A72:F1076,ISNUMBER(SEARCH("-",'Test Cases'!A72:A1076))),
    _xlpm.topics,_xlfn.MAP(INDEX(_xlpm.src,,1),_xlfn.LAMBDA(_xlpm.x,
      _xlfn.LET(
        _xlpm.t,TRIM(_xlfn.TEXTAFTER(_xlpm.x,"-")),
        IFERROR(_xlfn.TEXTBEFORE(_xlpm.t," ",2),_xlpm.t)
      )
    )),
    _xlpm.answers,INDEX(_xlpm.src,,4),
    _xlpm.denom,SUM(--(_xlpm.topics=_xlpm.topic)),
    IFERROR(SUM((_xlpm.topics=_xlpm.topic)*(_xlpm.answers="No"))/_xlpm.denom,"")
  )
)</f>
        <v/>
      </c>
      <c r="K81" s="16" t="str" cm="1">
        <f t="array" ref="K81">IF($G81="","",
  _xlfn.LET(
    _xlpm.topic,$G81,
    _xlpm.src,_xlfn._xlws.FILTER('Test Cases'!A72:F1076,ISNUMBER(SEARCH("-",'Test Cases'!A72:A1076))),
    _xlpm.topics,_xlfn.MAP(INDEX(_xlpm.src,,1),_xlfn.LAMBDA(_xlpm.x,
      _xlfn.LET(
        _xlpm.t,TRIM(_xlfn.TEXTAFTER(_xlpm.x,"-")),
        IFERROR(_xlfn.TEXTBEFORE(_xlpm.t," ",2),_xlpm.t)
      )
    )),
    _xlpm.answers,INDEX(_xlpm.src,,4),
    _xlpm.denom,SUM(--(_xlpm.topics=_xlpm.topic)),
    IFERROR(SUM((_xlpm.topics=_xlpm.topic)*(_xlpm.answers=""))/_xlpm.denom,"")
  )
)</f>
        <v/>
      </c>
    </row>
    <row r="82" spans="7:11" x14ac:dyDescent="0.35">
      <c r="G82" s="14"/>
      <c r="H82" s="14"/>
      <c r="I82" s="14"/>
      <c r="J82" s="15" t="str" cm="1">
        <f t="array" ref="J82">IF($G82="","",
  _xlfn.LET(
    _xlpm.topic,$G82,
    _xlpm.src,_xlfn._xlws.FILTER('Test Cases'!A73:F1077,ISNUMBER(SEARCH("-",'Test Cases'!A73:A1077))),
    _xlpm.topics,_xlfn.MAP(INDEX(_xlpm.src,,1),_xlfn.LAMBDA(_xlpm.x,
      _xlfn.LET(
        _xlpm.t,TRIM(_xlfn.TEXTAFTER(_xlpm.x,"-")),
        IFERROR(_xlfn.TEXTBEFORE(_xlpm.t," ",2),_xlpm.t)
      )
    )),
    _xlpm.answers,INDEX(_xlpm.src,,4),
    _xlpm.denom,SUM(--(_xlpm.topics=_xlpm.topic)),
    IFERROR(SUM((_xlpm.topics=_xlpm.topic)*(_xlpm.answers="No"))/_xlpm.denom,"")
  )
)</f>
        <v/>
      </c>
      <c r="K82" s="16" t="str" cm="1">
        <f t="array" ref="K82">IF($G82="","",
  _xlfn.LET(
    _xlpm.topic,$G82,
    _xlpm.src,_xlfn._xlws.FILTER('Test Cases'!A73:F1077,ISNUMBER(SEARCH("-",'Test Cases'!A73:A1077))),
    _xlpm.topics,_xlfn.MAP(INDEX(_xlpm.src,,1),_xlfn.LAMBDA(_xlpm.x,
      _xlfn.LET(
        _xlpm.t,TRIM(_xlfn.TEXTAFTER(_xlpm.x,"-")),
        IFERROR(_xlfn.TEXTBEFORE(_xlpm.t," ",2),_xlpm.t)
      )
    )),
    _xlpm.answers,INDEX(_xlpm.src,,4),
    _xlpm.denom,SUM(--(_xlpm.topics=_xlpm.topic)),
    IFERROR(SUM((_xlpm.topics=_xlpm.topic)*(_xlpm.answers=""))/_xlpm.denom,"")
  )
)</f>
        <v/>
      </c>
    </row>
    <row r="83" spans="7:11" x14ac:dyDescent="0.35">
      <c r="G83" s="14"/>
      <c r="H83" s="14"/>
      <c r="I83" s="14"/>
      <c r="J83" s="15" t="str" cm="1">
        <f t="array" ref="J83">IF($G83="","",
  _xlfn.LET(
    _xlpm.topic,$G83,
    _xlpm.src,_xlfn._xlws.FILTER('Test Cases'!A74:F1078,ISNUMBER(SEARCH("-",'Test Cases'!A74:A1078))),
    _xlpm.topics,_xlfn.MAP(INDEX(_xlpm.src,,1),_xlfn.LAMBDA(_xlpm.x,
      _xlfn.LET(
        _xlpm.t,TRIM(_xlfn.TEXTAFTER(_xlpm.x,"-")),
        IFERROR(_xlfn.TEXTBEFORE(_xlpm.t," ",2),_xlpm.t)
      )
    )),
    _xlpm.answers,INDEX(_xlpm.src,,4),
    _xlpm.denom,SUM(--(_xlpm.topics=_xlpm.topic)),
    IFERROR(SUM((_xlpm.topics=_xlpm.topic)*(_xlpm.answers="No"))/_xlpm.denom,"")
  )
)</f>
        <v/>
      </c>
      <c r="K83" s="16" t="str" cm="1">
        <f t="array" ref="K83">IF($G83="","",
  _xlfn.LET(
    _xlpm.topic,$G83,
    _xlpm.src,_xlfn._xlws.FILTER('Test Cases'!A74:F1078,ISNUMBER(SEARCH("-",'Test Cases'!A74:A1078))),
    _xlpm.topics,_xlfn.MAP(INDEX(_xlpm.src,,1),_xlfn.LAMBDA(_xlpm.x,
      _xlfn.LET(
        _xlpm.t,TRIM(_xlfn.TEXTAFTER(_xlpm.x,"-")),
        IFERROR(_xlfn.TEXTBEFORE(_xlpm.t," ",2),_xlpm.t)
      )
    )),
    _xlpm.answers,INDEX(_xlpm.src,,4),
    _xlpm.denom,SUM(--(_xlpm.topics=_xlpm.topic)),
    IFERROR(SUM((_xlpm.topics=_xlpm.topic)*(_xlpm.answers=""))/_xlpm.denom,"")
  )
)</f>
        <v/>
      </c>
    </row>
    <row r="84" spans="7:11" x14ac:dyDescent="0.35">
      <c r="G84" s="14"/>
      <c r="H84" s="14"/>
      <c r="I84" s="14"/>
      <c r="J84" s="15" t="str" cm="1">
        <f t="array" ref="J84">IF($G84="","",
  _xlfn.LET(
    _xlpm.topic,$G84,
    _xlpm.src,_xlfn._xlws.FILTER('Test Cases'!A75:F1079,ISNUMBER(SEARCH("-",'Test Cases'!A75:A1079))),
    _xlpm.topics,_xlfn.MAP(INDEX(_xlpm.src,,1),_xlfn.LAMBDA(_xlpm.x,
      _xlfn.LET(
        _xlpm.t,TRIM(_xlfn.TEXTAFTER(_xlpm.x,"-")),
        IFERROR(_xlfn.TEXTBEFORE(_xlpm.t," ",2),_xlpm.t)
      )
    )),
    _xlpm.answers,INDEX(_xlpm.src,,4),
    _xlpm.denom,SUM(--(_xlpm.topics=_xlpm.topic)),
    IFERROR(SUM((_xlpm.topics=_xlpm.topic)*(_xlpm.answers="No"))/_xlpm.denom,"")
  )
)</f>
        <v/>
      </c>
      <c r="K84" s="16" t="str" cm="1">
        <f t="array" ref="K84">IF($G84="","",
  _xlfn.LET(
    _xlpm.topic,$G84,
    _xlpm.src,_xlfn._xlws.FILTER('Test Cases'!A75:F1079,ISNUMBER(SEARCH("-",'Test Cases'!A75:A1079))),
    _xlpm.topics,_xlfn.MAP(INDEX(_xlpm.src,,1),_xlfn.LAMBDA(_xlpm.x,
      _xlfn.LET(
        _xlpm.t,TRIM(_xlfn.TEXTAFTER(_xlpm.x,"-")),
        IFERROR(_xlfn.TEXTBEFORE(_xlpm.t," ",2),_xlpm.t)
      )
    )),
    _xlpm.answers,INDEX(_xlpm.src,,4),
    _xlpm.denom,SUM(--(_xlpm.topics=_xlpm.topic)),
    IFERROR(SUM((_xlpm.topics=_xlpm.topic)*(_xlpm.answers=""))/_xlpm.denom,"")
  )
)</f>
        <v/>
      </c>
    </row>
    <row r="85" spans="7:11" x14ac:dyDescent="0.35">
      <c r="G85" s="14"/>
      <c r="H85" s="14"/>
      <c r="I85" s="14"/>
      <c r="J85" s="15" t="str" cm="1">
        <f t="array" ref="J85">IF($G85="","",
  _xlfn.LET(
    _xlpm.topic,$G85,
    _xlpm.src,_xlfn._xlws.FILTER('Test Cases'!A76:F1080,ISNUMBER(SEARCH("-",'Test Cases'!A76:A1080))),
    _xlpm.topics,_xlfn.MAP(INDEX(_xlpm.src,,1),_xlfn.LAMBDA(_xlpm.x,
      _xlfn.LET(
        _xlpm.t,TRIM(_xlfn.TEXTAFTER(_xlpm.x,"-")),
        IFERROR(_xlfn.TEXTBEFORE(_xlpm.t," ",2),_xlpm.t)
      )
    )),
    _xlpm.answers,INDEX(_xlpm.src,,4),
    _xlpm.denom,SUM(--(_xlpm.topics=_xlpm.topic)),
    IFERROR(SUM((_xlpm.topics=_xlpm.topic)*(_xlpm.answers="No"))/_xlpm.denom,"")
  )
)</f>
        <v/>
      </c>
      <c r="K85" s="16" t="str" cm="1">
        <f t="array" ref="K85">IF($G85="","",
  _xlfn.LET(
    _xlpm.topic,$G85,
    _xlpm.src,_xlfn._xlws.FILTER('Test Cases'!A76:F1080,ISNUMBER(SEARCH("-",'Test Cases'!A76:A1080))),
    _xlpm.topics,_xlfn.MAP(INDEX(_xlpm.src,,1),_xlfn.LAMBDA(_xlpm.x,
      _xlfn.LET(
        _xlpm.t,TRIM(_xlfn.TEXTAFTER(_xlpm.x,"-")),
        IFERROR(_xlfn.TEXTBEFORE(_xlpm.t," ",2),_xlpm.t)
      )
    )),
    _xlpm.answers,INDEX(_xlpm.src,,4),
    _xlpm.denom,SUM(--(_xlpm.topics=_xlpm.topic)),
    IFERROR(SUM((_xlpm.topics=_xlpm.topic)*(_xlpm.answers=""))/_xlpm.denom,"")
  )
)</f>
        <v/>
      </c>
    </row>
    <row r="86" spans="7:11" x14ac:dyDescent="0.35">
      <c r="G86" s="14"/>
      <c r="H86" s="14"/>
      <c r="I86" s="14"/>
      <c r="J86" s="15" t="str" cm="1">
        <f t="array" ref="J86">IF($G86="","",
  _xlfn.LET(
    _xlpm.topic,$G86,
    _xlpm.src,_xlfn._xlws.FILTER('Test Cases'!A77:F1081,ISNUMBER(SEARCH("-",'Test Cases'!A77:A1081))),
    _xlpm.topics,_xlfn.MAP(INDEX(_xlpm.src,,1),_xlfn.LAMBDA(_xlpm.x,
      _xlfn.LET(
        _xlpm.t,TRIM(_xlfn.TEXTAFTER(_xlpm.x,"-")),
        IFERROR(_xlfn.TEXTBEFORE(_xlpm.t," ",2),_xlpm.t)
      )
    )),
    _xlpm.answers,INDEX(_xlpm.src,,4),
    _xlpm.denom,SUM(--(_xlpm.topics=_xlpm.topic)),
    IFERROR(SUM((_xlpm.topics=_xlpm.topic)*(_xlpm.answers="No"))/_xlpm.denom,"")
  )
)</f>
        <v/>
      </c>
      <c r="K86" s="16" t="str" cm="1">
        <f t="array" ref="K86">IF($G86="","",
  _xlfn.LET(
    _xlpm.topic,$G86,
    _xlpm.src,_xlfn._xlws.FILTER('Test Cases'!A77:F1081,ISNUMBER(SEARCH("-",'Test Cases'!A77:A1081))),
    _xlpm.topics,_xlfn.MAP(INDEX(_xlpm.src,,1),_xlfn.LAMBDA(_xlpm.x,
      _xlfn.LET(
        _xlpm.t,TRIM(_xlfn.TEXTAFTER(_xlpm.x,"-")),
        IFERROR(_xlfn.TEXTBEFORE(_xlpm.t," ",2),_xlpm.t)
      )
    )),
    _xlpm.answers,INDEX(_xlpm.src,,4),
    _xlpm.denom,SUM(--(_xlpm.topics=_xlpm.topic)),
    IFERROR(SUM((_xlpm.topics=_xlpm.topic)*(_xlpm.answers=""))/_xlpm.denom,"")
  )
)</f>
        <v/>
      </c>
    </row>
    <row r="87" spans="7:11" x14ac:dyDescent="0.35">
      <c r="G87" s="14"/>
      <c r="H87" s="14"/>
      <c r="I87" s="14"/>
      <c r="J87" s="15" t="str" cm="1">
        <f t="array" ref="J87">IF($G87="","",
  _xlfn.LET(
    _xlpm.topic,$G87,
    _xlpm.src,_xlfn._xlws.FILTER('Test Cases'!A78:F1082,ISNUMBER(SEARCH("-",'Test Cases'!A78:A1082))),
    _xlpm.topics,_xlfn.MAP(INDEX(_xlpm.src,,1),_xlfn.LAMBDA(_xlpm.x,
      _xlfn.LET(
        _xlpm.t,TRIM(_xlfn.TEXTAFTER(_xlpm.x,"-")),
        IFERROR(_xlfn.TEXTBEFORE(_xlpm.t," ",2),_xlpm.t)
      )
    )),
    _xlpm.answers,INDEX(_xlpm.src,,4),
    _xlpm.denom,SUM(--(_xlpm.topics=_xlpm.topic)),
    IFERROR(SUM((_xlpm.topics=_xlpm.topic)*(_xlpm.answers="No"))/_xlpm.denom,"")
  )
)</f>
        <v/>
      </c>
      <c r="K87" s="16" t="str" cm="1">
        <f t="array" ref="K87">IF($G87="","",
  _xlfn.LET(
    _xlpm.topic,$G87,
    _xlpm.src,_xlfn._xlws.FILTER('Test Cases'!A78:F1082,ISNUMBER(SEARCH("-",'Test Cases'!A78:A1082))),
    _xlpm.topics,_xlfn.MAP(INDEX(_xlpm.src,,1),_xlfn.LAMBDA(_xlpm.x,
      _xlfn.LET(
        _xlpm.t,TRIM(_xlfn.TEXTAFTER(_xlpm.x,"-")),
        IFERROR(_xlfn.TEXTBEFORE(_xlpm.t," ",2),_xlpm.t)
      )
    )),
    _xlpm.answers,INDEX(_xlpm.src,,4),
    _xlpm.denom,SUM(--(_xlpm.topics=_xlpm.topic)),
    IFERROR(SUM((_xlpm.topics=_xlpm.topic)*(_xlpm.answers=""))/_xlpm.denom,"")
  )
)</f>
        <v/>
      </c>
    </row>
    <row r="88" spans="7:11" x14ac:dyDescent="0.35">
      <c r="G88" s="14"/>
      <c r="H88" s="14"/>
      <c r="I88" s="14"/>
      <c r="J88" s="15" t="str" cm="1">
        <f t="array" ref="J88">IF($G88="","",
  _xlfn.LET(
    _xlpm.topic,$G88,
    _xlpm.src,_xlfn._xlws.FILTER('Test Cases'!A79:F1083,ISNUMBER(SEARCH("-",'Test Cases'!A79:A1083))),
    _xlpm.topics,_xlfn.MAP(INDEX(_xlpm.src,,1),_xlfn.LAMBDA(_xlpm.x,
      _xlfn.LET(
        _xlpm.t,TRIM(_xlfn.TEXTAFTER(_xlpm.x,"-")),
        IFERROR(_xlfn.TEXTBEFORE(_xlpm.t," ",2),_xlpm.t)
      )
    )),
    _xlpm.answers,INDEX(_xlpm.src,,4),
    _xlpm.denom,SUM(--(_xlpm.topics=_xlpm.topic)),
    IFERROR(SUM((_xlpm.topics=_xlpm.topic)*(_xlpm.answers="No"))/_xlpm.denom,"")
  )
)</f>
        <v/>
      </c>
      <c r="K88" s="16" t="str" cm="1">
        <f t="array" ref="K88">IF($G88="","",
  _xlfn.LET(
    _xlpm.topic,$G88,
    _xlpm.src,_xlfn._xlws.FILTER('Test Cases'!A79:F1083,ISNUMBER(SEARCH("-",'Test Cases'!A79:A1083))),
    _xlpm.topics,_xlfn.MAP(INDEX(_xlpm.src,,1),_xlfn.LAMBDA(_xlpm.x,
      _xlfn.LET(
        _xlpm.t,TRIM(_xlfn.TEXTAFTER(_xlpm.x,"-")),
        IFERROR(_xlfn.TEXTBEFORE(_xlpm.t," ",2),_xlpm.t)
      )
    )),
    _xlpm.answers,INDEX(_xlpm.src,,4),
    _xlpm.denom,SUM(--(_xlpm.topics=_xlpm.topic)),
    IFERROR(SUM((_xlpm.topics=_xlpm.topic)*(_xlpm.answers=""))/_xlpm.denom,"")
  )
)</f>
        <v/>
      </c>
    </row>
    <row r="89" spans="7:11" x14ac:dyDescent="0.35">
      <c r="G89" s="14"/>
      <c r="H89" s="14"/>
      <c r="I89" s="14"/>
      <c r="J89" s="15" t="str" cm="1">
        <f t="array" ref="J89">IF($G89="","",
  _xlfn.LET(
    _xlpm.topic,$G89,
    _xlpm.src,_xlfn._xlws.FILTER('Test Cases'!A80:F1084,ISNUMBER(SEARCH("-",'Test Cases'!A80:A1084))),
    _xlpm.topics,_xlfn.MAP(INDEX(_xlpm.src,,1),_xlfn.LAMBDA(_xlpm.x,
      _xlfn.LET(
        _xlpm.t,TRIM(_xlfn.TEXTAFTER(_xlpm.x,"-")),
        IFERROR(_xlfn.TEXTBEFORE(_xlpm.t," ",2),_xlpm.t)
      )
    )),
    _xlpm.answers,INDEX(_xlpm.src,,4),
    _xlpm.denom,SUM(--(_xlpm.topics=_xlpm.topic)),
    IFERROR(SUM((_xlpm.topics=_xlpm.topic)*(_xlpm.answers="No"))/_xlpm.denom,"")
  )
)</f>
        <v/>
      </c>
      <c r="K89" s="16" t="str" cm="1">
        <f t="array" ref="K89">IF($G89="","",
  _xlfn.LET(
    _xlpm.topic,$G89,
    _xlpm.src,_xlfn._xlws.FILTER('Test Cases'!A80:F1084,ISNUMBER(SEARCH("-",'Test Cases'!A80:A1084))),
    _xlpm.topics,_xlfn.MAP(INDEX(_xlpm.src,,1),_xlfn.LAMBDA(_xlpm.x,
      _xlfn.LET(
        _xlpm.t,TRIM(_xlfn.TEXTAFTER(_xlpm.x,"-")),
        IFERROR(_xlfn.TEXTBEFORE(_xlpm.t," ",2),_xlpm.t)
      )
    )),
    _xlpm.answers,INDEX(_xlpm.src,,4),
    _xlpm.denom,SUM(--(_xlpm.topics=_xlpm.topic)),
    IFERROR(SUM((_xlpm.topics=_xlpm.topic)*(_xlpm.answers=""))/_xlpm.denom,"")
  )
)</f>
        <v/>
      </c>
    </row>
    <row r="90" spans="7:11" x14ac:dyDescent="0.35">
      <c r="G90" s="14"/>
      <c r="H90" s="14"/>
      <c r="I90" s="14"/>
      <c r="J90" s="15" t="str" cm="1">
        <f t="array" ref="J90">IF($G90="","",
  _xlfn.LET(
    _xlpm.topic,$G90,
    _xlpm.src,_xlfn._xlws.FILTER('Test Cases'!A81:F1085,ISNUMBER(SEARCH("-",'Test Cases'!A81:A1085))),
    _xlpm.topics,_xlfn.MAP(INDEX(_xlpm.src,,1),_xlfn.LAMBDA(_xlpm.x,
      _xlfn.LET(
        _xlpm.t,TRIM(_xlfn.TEXTAFTER(_xlpm.x,"-")),
        IFERROR(_xlfn.TEXTBEFORE(_xlpm.t," ",2),_xlpm.t)
      )
    )),
    _xlpm.answers,INDEX(_xlpm.src,,4),
    _xlpm.denom,SUM(--(_xlpm.topics=_xlpm.topic)),
    IFERROR(SUM((_xlpm.topics=_xlpm.topic)*(_xlpm.answers="No"))/_xlpm.denom,"")
  )
)</f>
        <v/>
      </c>
      <c r="K90" s="16" t="str" cm="1">
        <f t="array" ref="K90">IF($G90="","",
  _xlfn.LET(
    _xlpm.topic,$G90,
    _xlpm.src,_xlfn._xlws.FILTER('Test Cases'!A81:F1085,ISNUMBER(SEARCH("-",'Test Cases'!A81:A1085))),
    _xlpm.topics,_xlfn.MAP(INDEX(_xlpm.src,,1),_xlfn.LAMBDA(_xlpm.x,
      _xlfn.LET(
        _xlpm.t,TRIM(_xlfn.TEXTAFTER(_xlpm.x,"-")),
        IFERROR(_xlfn.TEXTBEFORE(_xlpm.t," ",2),_xlpm.t)
      )
    )),
    _xlpm.answers,INDEX(_xlpm.src,,4),
    _xlpm.denom,SUM(--(_xlpm.topics=_xlpm.topic)),
    IFERROR(SUM((_xlpm.topics=_xlpm.topic)*(_xlpm.answers=""))/_xlpm.denom,"")
  )
)</f>
        <v/>
      </c>
    </row>
    <row r="91" spans="7:11" x14ac:dyDescent="0.35">
      <c r="G91" s="14"/>
      <c r="H91" s="14"/>
      <c r="I91" s="14"/>
      <c r="J91" s="15" t="str" cm="1">
        <f t="array" ref="J91">IF($G91="","",
  _xlfn.LET(
    _xlpm.topic,$G91,
    _xlpm.src,_xlfn._xlws.FILTER('Test Cases'!A82:F1086,ISNUMBER(SEARCH("-",'Test Cases'!A82:A1086))),
    _xlpm.topics,_xlfn.MAP(INDEX(_xlpm.src,,1),_xlfn.LAMBDA(_xlpm.x,
      _xlfn.LET(
        _xlpm.t,TRIM(_xlfn.TEXTAFTER(_xlpm.x,"-")),
        IFERROR(_xlfn.TEXTBEFORE(_xlpm.t," ",2),_xlpm.t)
      )
    )),
    _xlpm.answers,INDEX(_xlpm.src,,4),
    _xlpm.denom,SUM(--(_xlpm.topics=_xlpm.topic)),
    IFERROR(SUM((_xlpm.topics=_xlpm.topic)*(_xlpm.answers="No"))/_xlpm.denom,"")
  )
)</f>
        <v/>
      </c>
      <c r="K91" s="16" t="str" cm="1">
        <f t="array" ref="K91">IF($G91="","",
  _xlfn.LET(
    _xlpm.topic,$G91,
    _xlpm.src,_xlfn._xlws.FILTER('Test Cases'!A82:F1086,ISNUMBER(SEARCH("-",'Test Cases'!A82:A1086))),
    _xlpm.topics,_xlfn.MAP(INDEX(_xlpm.src,,1),_xlfn.LAMBDA(_xlpm.x,
      _xlfn.LET(
        _xlpm.t,TRIM(_xlfn.TEXTAFTER(_xlpm.x,"-")),
        IFERROR(_xlfn.TEXTBEFORE(_xlpm.t," ",2),_xlpm.t)
      )
    )),
    _xlpm.answers,INDEX(_xlpm.src,,4),
    _xlpm.denom,SUM(--(_xlpm.topics=_xlpm.topic)),
    IFERROR(SUM((_xlpm.topics=_xlpm.topic)*(_xlpm.answers=""))/_xlpm.denom,"")
  )
)</f>
        <v/>
      </c>
    </row>
    <row r="92" spans="7:11" x14ac:dyDescent="0.35">
      <c r="G92" s="14"/>
      <c r="H92" s="14"/>
      <c r="I92" s="14"/>
      <c r="J92" s="15" t="str" cm="1">
        <f t="array" ref="J92">IF($G92="","",
  _xlfn.LET(
    _xlpm.topic,$G92,
    _xlpm.src,_xlfn._xlws.FILTER('Test Cases'!A83:F1087,ISNUMBER(SEARCH("-",'Test Cases'!A83:A1087))),
    _xlpm.topics,_xlfn.MAP(INDEX(_xlpm.src,,1),_xlfn.LAMBDA(_xlpm.x,
      _xlfn.LET(
        _xlpm.t,TRIM(_xlfn.TEXTAFTER(_xlpm.x,"-")),
        IFERROR(_xlfn.TEXTBEFORE(_xlpm.t," ",2),_xlpm.t)
      )
    )),
    _xlpm.answers,INDEX(_xlpm.src,,4),
    _xlpm.denom,SUM(--(_xlpm.topics=_xlpm.topic)),
    IFERROR(SUM((_xlpm.topics=_xlpm.topic)*(_xlpm.answers="No"))/_xlpm.denom,"")
  )
)</f>
        <v/>
      </c>
      <c r="K92" s="16" t="str" cm="1">
        <f t="array" ref="K92">IF($G92="","",
  _xlfn.LET(
    _xlpm.topic,$G92,
    _xlpm.src,_xlfn._xlws.FILTER('Test Cases'!A83:F1087,ISNUMBER(SEARCH("-",'Test Cases'!A83:A1087))),
    _xlpm.topics,_xlfn.MAP(INDEX(_xlpm.src,,1),_xlfn.LAMBDA(_xlpm.x,
      _xlfn.LET(
        _xlpm.t,TRIM(_xlfn.TEXTAFTER(_xlpm.x,"-")),
        IFERROR(_xlfn.TEXTBEFORE(_xlpm.t," ",2),_xlpm.t)
      )
    )),
    _xlpm.answers,INDEX(_xlpm.src,,4),
    _xlpm.denom,SUM(--(_xlpm.topics=_xlpm.topic)),
    IFERROR(SUM((_xlpm.topics=_xlpm.topic)*(_xlpm.answers=""))/_xlpm.denom,"")
  )
)</f>
        <v/>
      </c>
    </row>
    <row r="93" spans="7:11" x14ac:dyDescent="0.35">
      <c r="G93" s="14"/>
      <c r="H93" s="14"/>
      <c r="I93" s="14"/>
      <c r="J93" s="15" t="str" cm="1">
        <f t="array" ref="J93">IF($G93="","",
  _xlfn.LET(
    _xlpm.topic,$G93,
    _xlpm.src,_xlfn._xlws.FILTER('Test Cases'!A84:F1088,ISNUMBER(SEARCH("-",'Test Cases'!A84:A1088))),
    _xlpm.topics,_xlfn.MAP(INDEX(_xlpm.src,,1),_xlfn.LAMBDA(_xlpm.x,
      _xlfn.LET(
        _xlpm.t,TRIM(_xlfn.TEXTAFTER(_xlpm.x,"-")),
        IFERROR(_xlfn.TEXTBEFORE(_xlpm.t," ",2),_xlpm.t)
      )
    )),
    _xlpm.answers,INDEX(_xlpm.src,,4),
    _xlpm.denom,SUM(--(_xlpm.topics=_xlpm.topic)),
    IFERROR(SUM((_xlpm.topics=_xlpm.topic)*(_xlpm.answers="No"))/_xlpm.denom,"")
  )
)</f>
        <v/>
      </c>
      <c r="K93" s="16" t="str" cm="1">
        <f t="array" ref="K93">IF($G93="","",
  _xlfn.LET(
    _xlpm.topic,$G93,
    _xlpm.src,_xlfn._xlws.FILTER('Test Cases'!A84:F1088,ISNUMBER(SEARCH("-",'Test Cases'!A84:A1088))),
    _xlpm.topics,_xlfn.MAP(INDEX(_xlpm.src,,1),_xlfn.LAMBDA(_xlpm.x,
      _xlfn.LET(
        _xlpm.t,TRIM(_xlfn.TEXTAFTER(_xlpm.x,"-")),
        IFERROR(_xlfn.TEXTBEFORE(_xlpm.t," ",2),_xlpm.t)
      )
    )),
    _xlpm.answers,INDEX(_xlpm.src,,4),
    _xlpm.denom,SUM(--(_xlpm.topics=_xlpm.topic)),
    IFERROR(SUM((_xlpm.topics=_xlpm.topic)*(_xlpm.answers=""))/_xlpm.denom,"")
  )
)</f>
        <v/>
      </c>
    </row>
    <row r="94" spans="7:11" x14ac:dyDescent="0.35">
      <c r="G94" s="14"/>
      <c r="H94" s="14"/>
      <c r="I94" s="14"/>
      <c r="J94" s="15" t="str" cm="1">
        <f t="array" ref="J94">IF($G94="","",
  _xlfn.LET(
    _xlpm.topic,$G94,
    _xlpm.src,_xlfn._xlws.FILTER('Test Cases'!A85:F1089,ISNUMBER(SEARCH("-",'Test Cases'!A85:A1089))),
    _xlpm.topics,_xlfn.MAP(INDEX(_xlpm.src,,1),_xlfn.LAMBDA(_xlpm.x,
      _xlfn.LET(
        _xlpm.t,TRIM(_xlfn.TEXTAFTER(_xlpm.x,"-")),
        IFERROR(_xlfn.TEXTBEFORE(_xlpm.t," ",2),_xlpm.t)
      )
    )),
    _xlpm.answers,INDEX(_xlpm.src,,4),
    _xlpm.denom,SUM(--(_xlpm.topics=_xlpm.topic)),
    IFERROR(SUM((_xlpm.topics=_xlpm.topic)*(_xlpm.answers="No"))/_xlpm.denom,"")
  )
)</f>
        <v/>
      </c>
      <c r="K94" s="16" t="str" cm="1">
        <f t="array" ref="K94">IF($G94="","",
  _xlfn.LET(
    _xlpm.topic,$G94,
    _xlpm.src,_xlfn._xlws.FILTER('Test Cases'!A85:F1089,ISNUMBER(SEARCH("-",'Test Cases'!A85:A1089))),
    _xlpm.topics,_xlfn.MAP(INDEX(_xlpm.src,,1),_xlfn.LAMBDA(_xlpm.x,
      _xlfn.LET(
        _xlpm.t,TRIM(_xlfn.TEXTAFTER(_xlpm.x,"-")),
        IFERROR(_xlfn.TEXTBEFORE(_xlpm.t," ",2),_xlpm.t)
      )
    )),
    _xlpm.answers,INDEX(_xlpm.src,,4),
    _xlpm.denom,SUM(--(_xlpm.topics=_xlpm.topic)),
    IFERROR(SUM((_xlpm.topics=_xlpm.topic)*(_xlpm.answers=""))/_xlpm.denom,"")
  )
)</f>
        <v/>
      </c>
    </row>
    <row r="95" spans="7:11" x14ac:dyDescent="0.35">
      <c r="G95" s="14"/>
      <c r="H95" s="14"/>
      <c r="I95" s="14"/>
      <c r="J95" s="15" t="str" cm="1">
        <f t="array" ref="J95">IF($G95="","",
  _xlfn.LET(
    _xlpm.topic,$G95,
    _xlpm.src,_xlfn._xlws.FILTER('Test Cases'!A86:F1090,ISNUMBER(SEARCH("-",'Test Cases'!A86:A1090))),
    _xlpm.topics,_xlfn.MAP(INDEX(_xlpm.src,,1),_xlfn.LAMBDA(_xlpm.x,
      _xlfn.LET(
        _xlpm.t,TRIM(_xlfn.TEXTAFTER(_xlpm.x,"-")),
        IFERROR(_xlfn.TEXTBEFORE(_xlpm.t," ",2),_xlpm.t)
      )
    )),
    _xlpm.answers,INDEX(_xlpm.src,,4),
    _xlpm.denom,SUM(--(_xlpm.topics=_xlpm.topic)),
    IFERROR(SUM((_xlpm.topics=_xlpm.topic)*(_xlpm.answers="No"))/_xlpm.denom,"")
  )
)</f>
        <v/>
      </c>
      <c r="K95" s="16" t="str" cm="1">
        <f t="array" ref="K95">IF($G95="","",
  _xlfn.LET(
    _xlpm.topic,$G95,
    _xlpm.src,_xlfn._xlws.FILTER('Test Cases'!A86:F1090,ISNUMBER(SEARCH("-",'Test Cases'!A86:A1090))),
    _xlpm.topics,_xlfn.MAP(INDEX(_xlpm.src,,1),_xlfn.LAMBDA(_xlpm.x,
      _xlfn.LET(
        _xlpm.t,TRIM(_xlfn.TEXTAFTER(_xlpm.x,"-")),
        IFERROR(_xlfn.TEXTBEFORE(_xlpm.t," ",2),_xlpm.t)
      )
    )),
    _xlpm.answers,INDEX(_xlpm.src,,4),
    _xlpm.denom,SUM(--(_xlpm.topics=_xlpm.topic)),
    IFERROR(SUM((_xlpm.topics=_xlpm.topic)*(_xlpm.answers=""))/_xlpm.denom,"")
  )
)</f>
        <v/>
      </c>
    </row>
    <row r="96" spans="7:11" x14ac:dyDescent="0.35">
      <c r="G96" s="14"/>
      <c r="H96" s="14"/>
      <c r="I96" s="14"/>
      <c r="J96" s="15" t="str" cm="1">
        <f t="array" ref="J96">IF($G96="","",
  _xlfn.LET(
    _xlpm.topic,$G96,
    _xlpm.src,_xlfn._xlws.FILTER('Test Cases'!A87:F1091,ISNUMBER(SEARCH("-",'Test Cases'!A87:A1091))),
    _xlpm.topics,_xlfn.MAP(INDEX(_xlpm.src,,1),_xlfn.LAMBDA(_xlpm.x,
      _xlfn.LET(
        _xlpm.t,TRIM(_xlfn.TEXTAFTER(_xlpm.x,"-")),
        IFERROR(_xlfn.TEXTBEFORE(_xlpm.t," ",2),_xlpm.t)
      )
    )),
    _xlpm.answers,INDEX(_xlpm.src,,4),
    _xlpm.denom,SUM(--(_xlpm.topics=_xlpm.topic)),
    IFERROR(SUM((_xlpm.topics=_xlpm.topic)*(_xlpm.answers="No"))/_xlpm.denom,"")
  )
)</f>
        <v/>
      </c>
      <c r="K96" s="16" t="str" cm="1">
        <f t="array" ref="K96">IF($G96="","",
  _xlfn.LET(
    _xlpm.topic,$G96,
    _xlpm.src,_xlfn._xlws.FILTER('Test Cases'!A87:F1091,ISNUMBER(SEARCH("-",'Test Cases'!A87:A1091))),
    _xlpm.topics,_xlfn.MAP(INDEX(_xlpm.src,,1),_xlfn.LAMBDA(_xlpm.x,
      _xlfn.LET(
        _xlpm.t,TRIM(_xlfn.TEXTAFTER(_xlpm.x,"-")),
        IFERROR(_xlfn.TEXTBEFORE(_xlpm.t," ",2),_xlpm.t)
      )
    )),
    _xlpm.answers,INDEX(_xlpm.src,,4),
    _xlpm.denom,SUM(--(_xlpm.topics=_xlpm.topic)),
    IFERROR(SUM((_xlpm.topics=_xlpm.topic)*(_xlpm.answers=""))/_xlpm.denom,"")
  )
)</f>
        <v/>
      </c>
    </row>
    <row r="97" spans="7:11" x14ac:dyDescent="0.35">
      <c r="G97" s="14"/>
      <c r="H97" s="14"/>
      <c r="I97" s="14"/>
      <c r="J97" s="15" t="str" cm="1">
        <f t="array" ref="J97">IF($G97="","",
  _xlfn.LET(
    _xlpm.topic,$G97,
    _xlpm.src,_xlfn._xlws.FILTER('Test Cases'!A88:F1092,ISNUMBER(SEARCH("-",'Test Cases'!A88:A1092))),
    _xlpm.topics,_xlfn.MAP(INDEX(_xlpm.src,,1),_xlfn.LAMBDA(_xlpm.x,
      _xlfn.LET(
        _xlpm.t,TRIM(_xlfn.TEXTAFTER(_xlpm.x,"-")),
        IFERROR(_xlfn.TEXTBEFORE(_xlpm.t," ",2),_xlpm.t)
      )
    )),
    _xlpm.answers,INDEX(_xlpm.src,,4),
    _xlpm.denom,SUM(--(_xlpm.topics=_xlpm.topic)),
    IFERROR(SUM((_xlpm.topics=_xlpm.topic)*(_xlpm.answers="No"))/_xlpm.denom,"")
  )
)</f>
        <v/>
      </c>
      <c r="K97" s="16" t="str" cm="1">
        <f t="array" ref="K97">IF($G97="","",
  _xlfn.LET(
    _xlpm.topic,$G97,
    _xlpm.src,_xlfn._xlws.FILTER('Test Cases'!A88:F1092,ISNUMBER(SEARCH("-",'Test Cases'!A88:A1092))),
    _xlpm.topics,_xlfn.MAP(INDEX(_xlpm.src,,1),_xlfn.LAMBDA(_xlpm.x,
      _xlfn.LET(
        _xlpm.t,TRIM(_xlfn.TEXTAFTER(_xlpm.x,"-")),
        IFERROR(_xlfn.TEXTBEFORE(_xlpm.t," ",2),_xlpm.t)
      )
    )),
    _xlpm.answers,INDEX(_xlpm.src,,4),
    _xlpm.denom,SUM(--(_xlpm.topics=_xlpm.topic)),
    IFERROR(SUM((_xlpm.topics=_xlpm.topic)*(_xlpm.answers=""))/_xlpm.denom,"")
  )
)</f>
        <v/>
      </c>
    </row>
    <row r="98" spans="7:11" x14ac:dyDescent="0.35">
      <c r="G98" s="14"/>
      <c r="H98" s="14"/>
      <c r="I98" s="14"/>
      <c r="J98" s="15" t="str" cm="1">
        <f t="array" ref="J98">IF($G98="","",
  _xlfn.LET(
    _xlpm.topic,$G98,
    _xlpm.src,_xlfn._xlws.FILTER('Test Cases'!A89:F1093,ISNUMBER(SEARCH("-",'Test Cases'!A89:A1093))),
    _xlpm.topics,_xlfn.MAP(INDEX(_xlpm.src,,1),_xlfn.LAMBDA(_xlpm.x,
      _xlfn.LET(
        _xlpm.t,TRIM(_xlfn.TEXTAFTER(_xlpm.x,"-")),
        IFERROR(_xlfn.TEXTBEFORE(_xlpm.t," ",2),_xlpm.t)
      )
    )),
    _xlpm.answers,INDEX(_xlpm.src,,4),
    _xlpm.denom,SUM(--(_xlpm.topics=_xlpm.topic)),
    IFERROR(SUM((_xlpm.topics=_xlpm.topic)*(_xlpm.answers="No"))/_xlpm.denom,"")
  )
)</f>
        <v/>
      </c>
      <c r="K98" s="16" t="str" cm="1">
        <f t="array" ref="K98">IF($G98="","",
  _xlfn.LET(
    _xlpm.topic,$G98,
    _xlpm.src,_xlfn._xlws.FILTER('Test Cases'!A89:F1093,ISNUMBER(SEARCH("-",'Test Cases'!A89:A1093))),
    _xlpm.topics,_xlfn.MAP(INDEX(_xlpm.src,,1),_xlfn.LAMBDA(_xlpm.x,
      _xlfn.LET(
        _xlpm.t,TRIM(_xlfn.TEXTAFTER(_xlpm.x,"-")),
        IFERROR(_xlfn.TEXTBEFORE(_xlpm.t," ",2),_xlpm.t)
      )
    )),
    _xlpm.answers,INDEX(_xlpm.src,,4),
    _xlpm.denom,SUM(--(_xlpm.topics=_xlpm.topic)),
    IFERROR(SUM((_xlpm.topics=_xlpm.topic)*(_xlpm.answers=""))/_xlpm.denom,"")
  )
)</f>
        <v/>
      </c>
    </row>
    <row r="99" spans="7:11" x14ac:dyDescent="0.35">
      <c r="G99" s="14"/>
      <c r="H99" s="14"/>
      <c r="I99" s="14"/>
      <c r="J99" s="15" t="str" cm="1">
        <f t="array" ref="J99">IF($G99="","",
  _xlfn.LET(
    _xlpm.topic,$G99,
    _xlpm.src,_xlfn._xlws.FILTER('Test Cases'!A90:F1094,ISNUMBER(SEARCH("-",'Test Cases'!A90:A1094))),
    _xlpm.topics,_xlfn.MAP(INDEX(_xlpm.src,,1),_xlfn.LAMBDA(_xlpm.x,
      _xlfn.LET(
        _xlpm.t,TRIM(_xlfn.TEXTAFTER(_xlpm.x,"-")),
        IFERROR(_xlfn.TEXTBEFORE(_xlpm.t," ",2),_xlpm.t)
      )
    )),
    _xlpm.answers,INDEX(_xlpm.src,,4),
    _xlpm.denom,SUM(--(_xlpm.topics=_xlpm.topic)),
    IFERROR(SUM((_xlpm.topics=_xlpm.topic)*(_xlpm.answers="No"))/_xlpm.denom,"")
  )
)</f>
        <v/>
      </c>
      <c r="K99" s="16" t="str" cm="1">
        <f t="array" ref="K99">IF($G99="","",
  _xlfn.LET(
    _xlpm.topic,$G99,
    _xlpm.src,_xlfn._xlws.FILTER('Test Cases'!A90:F1094,ISNUMBER(SEARCH("-",'Test Cases'!A90:A1094))),
    _xlpm.topics,_xlfn.MAP(INDEX(_xlpm.src,,1),_xlfn.LAMBDA(_xlpm.x,
      _xlfn.LET(
        _xlpm.t,TRIM(_xlfn.TEXTAFTER(_xlpm.x,"-")),
        IFERROR(_xlfn.TEXTBEFORE(_xlpm.t," ",2),_xlpm.t)
      )
    )),
    _xlpm.answers,INDEX(_xlpm.src,,4),
    _xlpm.denom,SUM(--(_xlpm.topics=_xlpm.topic)),
    IFERROR(SUM((_xlpm.topics=_xlpm.topic)*(_xlpm.answers=""))/_xlpm.denom,"")
  )
)</f>
        <v/>
      </c>
    </row>
    <row r="100" spans="7:11" x14ac:dyDescent="0.35">
      <c r="G100" s="14"/>
      <c r="H100" s="14"/>
      <c r="I100" s="14"/>
      <c r="J100" s="15" t="str" cm="1">
        <f t="array" ref="J100">IF($G100="","",
  _xlfn.LET(
    _xlpm.topic,$G100,
    _xlpm.src,_xlfn._xlws.FILTER('Test Cases'!A91:F1095,ISNUMBER(SEARCH("-",'Test Cases'!A91:A1095))),
    _xlpm.topics,_xlfn.MAP(INDEX(_xlpm.src,,1),_xlfn.LAMBDA(_xlpm.x,
      _xlfn.LET(
        _xlpm.t,TRIM(_xlfn.TEXTAFTER(_xlpm.x,"-")),
        IFERROR(_xlfn.TEXTBEFORE(_xlpm.t," ",2),_xlpm.t)
      )
    )),
    _xlpm.answers,INDEX(_xlpm.src,,4),
    _xlpm.denom,SUM(--(_xlpm.topics=_xlpm.topic)),
    IFERROR(SUM((_xlpm.topics=_xlpm.topic)*(_xlpm.answers="No"))/_xlpm.denom,"")
  )
)</f>
        <v/>
      </c>
      <c r="K100" s="16" t="str" cm="1">
        <f t="array" ref="K100">IF($G100="","",
  _xlfn.LET(
    _xlpm.topic,$G100,
    _xlpm.src,_xlfn._xlws.FILTER('Test Cases'!A91:F1095,ISNUMBER(SEARCH("-",'Test Cases'!A91:A1095))),
    _xlpm.topics,_xlfn.MAP(INDEX(_xlpm.src,,1),_xlfn.LAMBDA(_xlpm.x,
      _xlfn.LET(
        _xlpm.t,TRIM(_xlfn.TEXTAFTER(_xlpm.x,"-")),
        IFERROR(_xlfn.TEXTBEFORE(_xlpm.t," ",2),_xlpm.t)
      )
    )),
    _xlpm.answers,INDEX(_xlpm.src,,4),
    _xlpm.denom,SUM(--(_xlpm.topics=_xlpm.topic)),
    IFERROR(SUM((_xlpm.topics=_xlpm.topic)*(_xlpm.answers=""))/_xlpm.denom,"")
  )
)</f>
        <v/>
      </c>
    </row>
    <row r="101" spans="7:11" x14ac:dyDescent="0.35">
      <c r="G101" s="14"/>
      <c r="H101" s="14"/>
      <c r="I101" s="14"/>
      <c r="J101" s="15" t="str" cm="1">
        <f t="array" ref="J101">IF($G101="","",
  _xlfn.LET(
    _xlpm.topic,$G101,
    _xlpm.src,_xlfn._xlws.FILTER('Test Cases'!A92:F1096,ISNUMBER(SEARCH("-",'Test Cases'!A92:A1096))),
    _xlpm.topics,_xlfn.MAP(INDEX(_xlpm.src,,1),_xlfn.LAMBDA(_xlpm.x,
      _xlfn.LET(
        _xlpm.t,TRIM(_xlfn.TEXTAFTER(_xlpm.x,"-")),
        IFERROR(_xlfn.TEXTBEFORE(_xlpm.t," ",2),_xlpm.t)
      )
    )),
    _xlpm.answers,INDEX(_xlpm.src,,4),
    _xlpm.denom,SUM(--(_xlpm.topics=_xlpm.topic)),
    IFERROR(SUM((_xlpm.topics=_xlpm.topic)*(_xlpm.answers="No"))/_xlpm.denom,"")
  )
)</f>
        <v/>
      </c>
      <c r="K101" s="16" t="str" cm="1">
        <f t="array" ref="K101">IF($G101="","",
  _xlfn.LET(
    _xlpm.topic,$G101,
    _xlpm.src,_xlfn._xlws.FILTER('Test Cases'!A92:F1096,ISNUMBER(SEARCH("-",'Test Cases'!A92:A1096))),
    _xlpm.topics,_xlfn.MAP(INDEX(_xlpm.src,,1),_xlfn.LAMBDA(_xlpm.x,
      _xlfn.LET(
        _xlpm.t,TRIM(_xlfn.TEXTAFTER(_xlpm.x,"-")),
        IFERROR(_xlfn.TEXTBEFORE(_xlpm.t," ",2),_xlpm.t)
      )
    )),
    _xlpm.answers,INDEX(_xlpm.src,,4),
    _xlpm.denom,SUM(--(_xlpm.topics=_xlpm.topic)),
    IFERROR(SUM((_xlpm.topics=_xlpm.topic)*(_xlpm.answers=""))/_xlpm.denom,"")
  )
)</f>
        <v/>
      </c>
    </row>
    <row r="102" spans="7:11" x14ac:dyDescent="0.35">
      <c r="G102" s="14"/>
      <c r="H102" s="14"/>
      <c r="I102" s="14"/>
      <c r="J102" s="15" t="str" cm="1">
        <f t="array" ref="J102">IF($G102="","",
  _xlfn.LET(
    _xlpm.topic,$G102,
    _xlpm.src,_xlfn._xlws.FILTER('Test Cases'!A93:F1097,ISNUMBER(SEARCH("-",'Test Cases'!A93:A1097))),
    _xlpm.topics,_xlfn.MAP(INDEX(_xlpm.src,,1),_xlfn.LAMBDA(_xlpm.x,
      _xlfn.LET(
        _xlpm.t,TRIM(_xlfn.TEXTAFTER(_xlpm.x,"-")),
        IFERROR(_xlfn.TEXTBEFORE(_xlpm.t," ",2),_xlpm.t)
      )
    )),
    _xlpm.answers,INDEX(_xlpm.src,,4),
    _xlpm.denom,SUM(--(_xlpm.topics=_xlpm.topic)),
    IFERROR(SUM((_xlpm.topics=_xlpm.topic)*(_xlpm.answers="No"))/_xlpm.denom,"")
  )
)</f>
        <v/>
      </c>
      <c r="K102" s="16" t="str" cm="1">
        <f t="array" ref="K102">IF($G102="","",
  _xlfn.LET(
    _xlpm.topic,$G102,
    _xlpm.src,_xlfn._xlws.FILTER('Test Cases'!A93:F1097,ISNUMBER(SEARCH("-",'Test Cases'!A93:A1097))),
    _xlpm.topics,_xlfn.MAP(INDEX(_xlpm.src,,1),_xlfn.LAMBDA(_xlpm.x,
      _xlfn.LET(
        _xlpm.t,TRIM(_xlfn.TEXTAFTER(_xlpm.x,"-")),
        IFERROR(_xlfn.TEXTBEFORE(_xlpm.t," ",2),_xlpm.t)
      )
    )),
    _xlpm.answers,INDEX(_xlpm.src,,4),
    _xlpm.denom,SUM(--(_xlpm.topics=_xlpm.topic)),
    IFERROR(SUM((_xlpm.topics=_xlpm.topic)*(_xlpm.answers=""))/_xlpm.denom,"")
  )
)</f>
        <v/>
      </c>
    </row>
    <row r="103" spans="7:11" x14ac:dyDescent="0.35">
      <c r="G103" s="14"/>
      <c r="H103" s="14"/>
      <c r="I103" s="14"/>
      <c r="J103" s="15" t="str" cm="1">
        <f t="array" ref="J103">IF($G103="","",
  _xlfn.LET(
    _xlpm.topic,$G103,
    _xlpm.src,_xlfn._xlws.FILTER('Test Cases'!A94:F1098,ISNUMBER(SEARCH("-",'Test Cases'!A94:A1098))),
    _xlpm.topics,_xlfn.MAP(INDEX(_xlpm.src,,1),_xlfn.LAMBDA(_xlpm.x,
      _xlfn.LET(
        _xlpm.t,TRIM(_xlfn.TEXTAFTER(_xlpm.x,"-")),
        IFERROR(_xlfn.TEXTBEFORE(_xlpm.t," ",2),_xlpm.t)
      )
    )),
    _xlpm.answers,INDEX(_xlpm.src,,4),
    _xlpm.denom,SUM(--(_xlpm.topics=_xlpm.topic)),
    IFERROR(SUM((_xlpm.topics=_xlpm.topic)*(_xlpm.answers="No"))/_xlpm.denom,"")
  )
)</f>
        <v/>
      </c>
      <c r="K103" s="16" t="str" cm="1">
        <f t="array" ref="K103">IF($G103="","",
  _xlfn.LET(
    _xlpm.topic,$G103,
    _xlpm.src,_xlfn._xlws.FILTER('Test Cases'!A94:F1098,ISNUMBER(SEARCH("-",'Test Cases'!A94:A1098))),
    _xlpm.topics,_xlfn.MAP(INDEX(_xlpm.src,,1),_xlfn.LAMBDA(_xlpm.x,
      _xlfn.LET(
        _xlpm.t,TRIM(_xlfn.TEXTAFTER(_xlpm.x,"-")),
        IFERROR(_xlfn.TEXTBEFORE(_xlpm.t," ",2),_xlpm.t)
      )
    )),
    _xlpm.answers,INDEX(_xlpm.src,,4),
    _xlpm.denom,SUM(--(_xlpm.topics=_xlpm.topic)),
    IFERROR(SUM((_xlpm.topics=_xlpm.topic)*(_xlpm.answers=""))/_xlpm.denom,"")
  )
)</f>
        <v/>
      </c>
    </row>
    <row r="104" spans="7:11" x14ac:dyDescent="0.35">
      <c r="G104" s="14"/>
      <c r="H104" s="14"/>
      <c r="I104" s="14"/>
      <c r="J104" s="15" t="str" cm="1">
        <f t="array" ref="J104">IF($G104="","",
  _xlfn.LET(
    _xlpm.topic,$G104,
    _xlpm.src,_xlfn._xlws.FILTER('Test Cases'!A95:F1099,ISNUMBER(SEARCH("-",'Test Cases'!A95:A1099))),
    _xlpm.topics,_xlfn.MAP(INDEX(_xlpm.src,,1),_xlfn.LAMBDA(_xlpm.x,
      _xlfn.LET(
        _xlpm.t,TRIM(_xlfn.TEXTAFTER(_xlpm.x,"-")),
        IFERROR(_xlfn.TEXTBEFORE(_xlpm.t," ",2),_xlpm.t)
      )
    )),
    _xlpm.answers,INDEX(_xlpm.src,,4),
    _xlpm.denom,SUM(--(_xlpm.topics=_xlpm.topic)),
    IFERROR(SUM((_xlpm.topics=_xlpm.topic)*(_xlpm.answers="No"))/_xlpm.denom,"")
  )
)</f>
        <v/>
      </c>
      <c r="K104" s="16" t="str" cm="1">
        <f t="array" ref="K104">IF($G104="","",
  _xlfn.LET(
    _xlpm.topic,$G104,
    _xlpm.src,_xlfn._xlws.FILTER('Test Cases'!A95:F1099,ISNUMBER(SEARCH("-",'Test Cases'!A95:A1099))),
    _xlpm.topics,_xlfn.MAP(INDEX(_xlpm.src,,1),_xlfn.LAMBDA(_xlpm.x,
      _xlfn.LET(
        _xlpm.t,TRIM(_xlfn.TEXTAFTER(_xlpm.x,"-")),
        IFERROR(_xlfn.TEXTBEFORE(_xlpm.t," ",2),_xlpm.t)
      )
    )),
    _xlpm.answers,INDEX(_xlpm.src,,4),
    _xlpm.denom,SUM(--(_xlpm.topics=_xlpm.topic)),
    IFERROR(SUM((_xlpm.topics=_xlpm.topic)*(_xlpm.answers=""))/_xlpm.denom,"")
  )
)</f>
        <v/>
      </c>
    </row>
  </sheetData>
  <mergeCells count="8">
    <mergeCell ref="M3:P3"/>
    <mergeCell ref="C8:E8"/>
    <mergeCell ref="A1:T1"/>
    <mergeCell ref="C3:E3"/>
    <mergeCell ref="D4:E4"/>
    <mergeCell ref="D5:E5"/>
    <mergeCell ref="D6:E6"/>
    <mergeCell ref="G3:K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O101"/>
  <sheetViews>
    <sheetView workbookViewId="0">
      <pane ySplit="1" topLeftCell="A13" activePane="bottomLeft" state="frozen"/>
      <selection pane="bottomLeft" activeCell="A14" sqref="A14:XFD56"/>
    </sheetView>
  </sheetViews>
  <sheetFormatPr defaultRowHeight="12" x14ac:dyDescent="0.3"/>
  <cols>
    <col min="1" max="1" width="30.36328125" style="4" customWidth="1"/>
    <col min="2" max="2" width="10.08984375" style="4" customWidth="1"/>
    <col min="3" max="3" width="32.26953125" style="4" customWidth="1"/>
    <col min="4" max="5" width="32.26953125" style="3" customWidth="1"/>
    <col min="6" max="10" width="12.90625" style="4" customWidth="1"/>
    <col min="11" max="12" width="9.7265625" style="4" customWidth="1"/>
    <col min="13" max="13" width="17.81640625" style="3" customWidth="1"/>
    <col min="14" max="14" width="286" style="3" customWidth="1"/>
    <col min="15" max="15" width="15.453125" style="3" customWidth="1"/>
    <col min="16" max="16384" width="8.7265625" style="3"/>
  </cols>
  <sheetData>
    <row r="1" spans="1:15" x14ac:dyDescent="0.3">
      <c r="A1" s="1" t="s">
        <v>0</v>
      </c>
      <c r="B1" s="1" t="s">
        <v>367</v>
      </c>
      <c r="C1" s="1" t="s">
        <v>1</v>
      </c>
      <c r="D1" s="2" t="s">
        <v>183</v>
      </c>
      <c r="E1" s="2" t="s">
        <v>267</v>
      </c>
      <c r="F1" s="1" t="s">
        <v>186</v>
      </c>
      <c r="G1" s="1" t="s">
        <v>268</v>
      </c>
      <c r="H1" s="1" t="s">
        <v>187</v>
      </c>
      <c r="I1" s="1" t="s">
        <v>200</v>
      </c>
      <c r="J1" s="1" t="s">
        <v>184</v>
      </c>
      <c r="K1" s="1" t="s">
        <v>191</v>
      </c>
      <c r="L1" s="2" t="s">
        <v>2</v>
      </c>
      <c r="M1" s="2" t="s">
        <v>3</v>
      </c>
      <c r="N1" s="2" t="s">
        <v>4</v>
      </c>
      <c r="O1" s="3" t="s">
        <v>266</v>
      </c>
    </row>
    <row r="2" spans="1:15" x14ac:dyDescent="0.3">
      <c r="A2" s="3" t="s">
        <v>313</v>
      </c>
      <c r="B2" s="3" t="str">
        <f t="shared" ref="B2:B56" si="0">_xlfn.TEXTBEFORE(_xlfn.TEXTAFTER(A2,"[",-1),"]")</f>
        <v>DA</v>
      </c>
      <c r="C2" s="4" t="s">
        <v>5</v>
      </c>
      <c r="D2" s="3" t="s">
        <v>185</v>
      </c>
      <c r="F2" s="3" t="s">
        <v>188</v>
      </c>
      <c r="G2" s="3"/>
      <c r="I2" s="4" t="s">
        <v>188</v>
      </c>
      <c r="J2" s="5">
        <v>46184</v>
      </c>
      <c r="K2" s="5" t="s">
        <v>192</v>
      </c>
      <c r="L2" s="3" t="s">
        <v>6</v>
      </c>
      <c r="M2" s="3" t="s">
        <v>7</v>
      </c>
    </row>
    <row r="3" spans="1:15" x14ac:dyDescent="0.3">
      <c r="A3" s="3" t="s">
        <v>314</v>
      </c>
      <c r="B3" s="3" t="str">
        <f t="shared" si="0"/>
        <v>DA</v>
      </c>
      <c r="C3" s="4" t="s">
        <v>8</v>
      </c>
      <c r="D3" s="3" t="s">
        <v>190</v>
      </c>
      <c r="F3" s="3" t="s">
        <v>188</v>
      </c>
      <c r="G3" s="3"/>
      <c r="I3" s="4" t="s">
        <v>188</v>
      </c>
      <c r="J3" s="5">
        <v>46184</v>
      </c>
      <c r="K3" s="5" t="s">
        <v>192</v>
      </c>
      <c r="L3" s="3" t="s">
        <v>6</v>
      </c>
      <c r="M3" s="3" t="s">
        <v>9</v>
      </c>
    </row>
    <row r="4" spans="1:15" ht="24" x14ac:dyDescent="0.3">
      <c r="A4" s="3" t="s">
        <v>315</v>
      </c>
      <c r="B4" s="3" t="str">
        <f t="shared" si="0"/>
        <v>DA</v>
      </c>
      <c r="C4" s="4" t="s">
        <v>10</v>
      </c>
      <c r="D4" s="3" t="s">
        <v>193</v>
      </c>
      <c r="F4" s="3" t="s">
        <v>194</v>
      </c>
      <c r="G4" s="3"/>
      <c r="J4" s="5">
        <v>46184</v>
      </c>
      <c r="K4" s="5" t="s">
        <v>192</v>
      </c>
      <c r="L4" s="3" t="s">
        <v>6</v>
      </c>
      <c r="M4" s="3" t="s">
        <v>11</v>
      </c>
    </row>
    <row r="5" spans="1:15" ht="24" x14ac:dyDescent="0.3">
      <c r="A5" s="3" t="s">
        <v>316</v>
      </c>
      <c r="B5" s="3" t="str">
        <f t="shared" si="0"/>
        <v>DA</v>
      </c>
      <c r="C5" s="4" t="s">
        <v>12</v>
      </c>
      <c r="D5" s="3" t="s">
        <v>195</v>
      </c>
      <c r="F5" s="3" t="s">
        <v>188</v>
      </c>
      <c r="G5" s="3"/>
      <c r="I5" s="4" t="s">
        <v>188</v>
      </c>
      <c r="J5" s="5">
        <v>46184</v>
      </c>
      <c r="K5" s="3"/>
      <c r="L5" s="3" t="s">
        <v>6</v>
      </c>
      <c r="M5" s="3" t="s">
        <v>13</v>
      </c>
    </row>
    <row r="6" spans="1:15" ht="60" x14ac:dyDescent="0.3">
      <c r="A6" s="3" t="s">
        <v>317</v>
      </c>
      <c r="B6" s="3" t="str">
        <f t="shared" si="0"/>
        <v>DA</v>
      </c>
      <c r="C6" s="4" t="s">
        <v>14</v>
      </c>
      <c r="D6" s="4" t="s">
        <v>193</v>
      </c>
      <c r="E6" s="4"/>
      <c r="F6" s="3" t="s">
        <v>194</v>
      </c>
      <c r="G6" s="3"/>
      <c r="J6" s="5">
        <v>46184</v>
      </c>
      <c r="K6" s="3"/>
      <c r="L6" s="3" t="s">
        <v>6</v>
      </c>
      <c r="M6" s="3" t="s">
        <v>15</v>
      </c>
    </row>
    <row r="7" spans="1:15" x14ac:dyDescent="0.3">
      <c r="A7" s="3" t="s">
        <v>318</v>
      </c>
      <c r="B7" s="3" t="str">
        <f t="shared" si="0"/>
        <v>DA</v>
      </c>
      <c r="C7" s="4" t="s">
        <v>16</v>
      </c>
      <c r="D7" s="3" t="s">
        <v>196</v>
      </c>
      <c r="F7" s="3" t="s">
        <v>188</v>
      </c>
      <c r="G7" s="3"/>
      <c r="I7" s="4" t="s">
        <v>188</v>
      </c>
      <c r="J7" s="5">
        <v>46184</v>
      </c>
      <c r="K7" s="3"/>
      <c r="L7" s="3" t="s">
        <v>6</v>
      </c>
      <c r="M7" s="3" t="s">
        <v>17</v>
      </c>
    </row>
    <row r="8" spans="1:15" x14ac:dyDescent="0.3">
      <c r="A8" s="3" t="s">
        <v>319</v>
      </c>
      <c r="B8" s="3" t="str">
        <f t="shared" si="0"/>
        <v>DA</v>
      </c>
      <c r="C8" s="4" t="s">
        <v>18</v>
      </c>
      <c r="D8" s="3" t="s">
        <v>196</v>
      </c>
      <c r="F8" s="3" t="s">
        <v>188</v>
      </c>
      <c r="G8" s="3"/>
      <c r="I8" s="4" t="s">
        <v>188</v>
      </c>
      <c r="J8" s="5">
        <v>46184</v>
      </c>
      <c r="K8" s="3"/>
      <c r="L8" s="3" t="s">
        <v>6</v>
      </c>
      <c r="M8" s="3" t="s">
        <v>19</v>
      </c>
    </row>
    <row r="9" spans="1:15" x14ac:dyDescent="0.3">
      <c r="A9" s="3" t="s">
        <v>320</v>
      </c>
      <c r="B9" s="3" t="str">
        <f t="shared" si="0"/>
        <v>DA</v>
      </c>
      <c r="C9" s="4" t="s">
        <v>20</v>
      </c>
      <c r="D9" s="3" t="s">
        <v>197</v>
      </c>
      <c r="F9" s="3" t="s">
        <v>188</v>
      </c>
      <c r="G9" s="3"/>
      <c r="I9" s="4" t="s">
        <v>188</v>
      </c>
      <c r="J9" s="5">
        <v>46184</v>
      </c>
      <c r="K9" s="3"/>
      <c r="L9" s="3" t="s">
        <v>6</v>
      </c>
      <c r="M9" s="3" t="s">
        <v>21</v>
      </c>
    </row>
    <row r="10" spans="1:15" ht="24" x14ac:dyDescent="0.3">
      <c r="A10" s="3" t="s">
        <v>321</v>
      </c>
      <c r="B10" s="3" t="str">
        <f t="shared" si="0"/>
        <v>DA</v>
      </c>
      <c r="C10" s="4" t="s">
        <v>22</v>
      </c>
      <c r="D10" s="3" t="s">
        <v>198</v>
      </c>
      <c r="F10" s="3" t="s">
        <v>188</v>
      </c>
      <c r="G10" s="3"/>
      <c r="I10" s="4" t="s">
        <v>194</v>
      </c>
      <c r="J10" s="5">
        <v>46184</v>
      </c>
      <c r="K10" s="3"/>
      <c r="L10" s="3" t="s">
        <v>6</v>
      </c>
      <c r="M10" s="3" t="s">
        <v>23</v>
      </c>
    </row>
    <row r="11" spans="1:15" ht="24" x14ac:dyDescent="0.3">
      <c r="A11" s="3" t="s">
        <v>322</v>
      </c>
      <c r="B11" s="3" t="str">
        <f t="shared" si="0"/>
        <v>DA</v>
      </c>
      <c r="C11" s="4" t="s">
        <v>24</v>
      </c>
      <c r="D11" s="3" t="s">
        <v>199</v>
      </c>
      <c r="F11" s="3" t="s">
        <v>188</v>
      </c>
      <c r="G11" s="3"/>
      <c r="I11" s="4" t="s">
        <v>188</v>
      </c>
      <c r="J11" s="3"/>
      <c r="K11" s="3"/>
      <c r="L11" s="3" t="s">
        <v>6</v>
      </c>
      <c r="M11" s="3" t="s">
        <v>25</v>
      </c>
    </row>
    <row r="12" spans="1:15" ht="24" x14ac:dyDescent="0.3">
      <c r="A12" s="3" t="s">
        <v>323</v>
      </c>
      <c r="B12" s="3" t="str">
        <f t="shared" si="0"/>
        <v>Evaluation</v>
      </c>
      <c r="C12" s="4" t="s">
        <v>26</v>
      </c>
      <c r="D12" s="3" t="s">
        <v>193</v>
      </c>
      <c r="F12" s="3" t="s">
        <v>194</v>
      </c>
      <c r="G12" s="3"/>
      <c r="J12" s="3"/>
      <c r="K12" s="3"/>
      <c r="L12" s="3" t="s">
        <v>6</v>
      </c>
      <c r="M12" s="3" t="s">
        <v>27</v>
      </c>
    </row>
    <row r="13" spans="1:15" ht="36" x14ac:dyDescent="0.3">
      <c r="A13" s="3" t="s">
        <v>324</v>
      </c>
      <c r="B13" s="3" t="str">
        <f t="shared" si="0"/>
        <v>Evaluation</v>
      </c>
      <c r="C13" s="4" t="s">
        <v>202</v>
      </c>
      <c r="F13" s="3"/>
      <c r="G13" s="3"/>
      <c r="J13" s="3"/>
      <c r="K13" s="3"/>
      <c r="L13" s="3" t="s">
        <v>6</v>
      </c>
      <c r="M13" s="3" t="s">
        <v>28</v>
      </c>
    </row>
    <row r="14" spans="1:15" ht="24" x14ac:dyDescent="0.3">
      <c r="A14" s="3" t="s">
        <v>325</v>
      </c>
      <c r="B14" s="3" t="str">
        <f t="shared" si="0"/>
        <v>Evaluation</v>
      </c>
      <c r="C14" s="4" t="s">
        <v>203</v>
      </c>
      <c r="D14" s="3" t="s">
        <v>204</v>
      </c>
      <c r="E14" s="3" t="s">
        <v>205</v>
      </c>
      <c r="F14" s="3" t="s">
        <v>194</v>
      </c>
      <c r="G14" s="3"/>
      <c r="I14" s="4" t="s">
        <v>206</v>
      </c>
      <c r="J14" s="5">
        <v>46189</v>
      </c>
      <c r="K14" s="3"/>
      <c r="L14" s="3" t="s">
        <v>6</v>
      </c>
      <c r="M14" s="3" t="s">
        <v>28</v>
      </c>
    </row>
    <row r="15" spans="1:15" ht="24" x14ac:dyDescent="0.3">
      <c r="A15" s="3" t="s">
        <v>326</v>
      </c>
      <c r="B15" s="3" t="str">
        <f t="shared" si="0"/>
        <v>Evaluation</v>
      </c>
      <c r="C15" s="4" t="s">
        <v>207</v>
      </c>
      <c r="D15" s="3" t="s">
        <v>208</v>
      </c>
      <c r="E15" s="3" t="s">
        <v>209</v>
      </c>
      <c r="F15" s="3" t="s">
        <v>194</v>
      </c>
      <c r="G15" s="3"/>
      <c r="I15" s="4" t="s">
        <v>206</v>
      </c>
      <c r="J15" s="5">
        <v>46189</v>
      </c>
      <c r="K15" s="3"/>
      <c r="L15" s="3" t="s">
        <v>6</v>
      </c>
      <c r="M15" s="3" t="s">
        <v>210</v>
      </c>
    </row>
    <row r="16" spans="1:15" ht="24" x14ac:dyDescent="0.3">
      <c r="A16" s="3" t="s">
        <v>327</v>
      </c>
      <c r="B16" s="3" t="str">
        <f t="shared" si="0"/>
        <v>Evaluation</v>
      </c>
      <c r="C16" s="4" t="s">
        <v>29</v>
      </c>
      <c r="D16" s="3" t="s">
        <v>211</v>
      </c>
      <c r="F16" s="3" t="s">
        <v>194</v>
      </c>
      <c r="G16" s="3"/>
      <c r="I16" s="4" t="s">
        <v>206</v>
      </c>
      <c r="J16" s="5">
        <v>46189</v>
      </c>
      <c r="K16" s="3"/>
      <c r="L16" s="3" t="s">
        <v>6</v>
      </c>
      <c r="M16" s="3" t="s">
        <v>28</v>
      </c>
    </row>
    <row r="17" spans="1:13" ht="24" x14ac:dyDescent="0.3">
      <c r="A17" s="3" t="s">
        <v>328</v>
      </c>
      <c r="B17" s="3" t="str">
        <f t="shared" si="0"/>
        <v>Evaluation</v>
      </c>
      <c r="C17" s="4" t="s">
        <v>30</v>
      </c>
      <c r="D17" s="3" t="s">
        <v>212</v>
      </c>
      <c r="E17" s="3" t="s">
        <v>213</v>
      </c>
      <c r="F17" s="3" t="s">
        <v>188</v>
      </c>
      <c r="G17" s="3"/>
      <c r="I17" s="4" t="s">
        <v>188</v>
      </c>
      <c r="J17" s="5">
        <v>46189</v>
      </c>
      <c r="K17" s="3" t="s">
        <v>214</v>
      </c>
      <c r="L17" s="3" t="s">
        <v>6</v>
      </c>
      <c r="M17" s="3" t="s">
        <v>28</v>
      </c>
    </row>
    <row r="18" spans="1:13" ht="24" x14ac:dyDescent="0.3">
      <c r="A18" s="3" t="s">
        <v>329</v>
      </c>
      <c r="B18" s="3" t="str">
        <f t="shared" si="0"/>
        <v>Evaluation</v>
      </c>
      <c r="C18" s="4" t="s">
        <v>31</v>
      </c>
      <c r="D18" s="3" t="s">
        <v>215</v>
      </c>
      <c r="E18" s="3" t="s">
        <v>216</v>
      </c>
      <c r="F18" s="3" t="s">
        <v>194</v>
      </c>
      <c r="G18" s="3"/>
      <c r="I18" s="4" t="s">
        <v>206</v>
      </c>
      <c r="J18" s="5">
        <v>46189</v>
      </c>
      <c r="K18" s="3" t="s">
        <v>214</v>
      </c>
      <c r="L18" s="3" t="s">
        <v>6</v>
      </c>
      <c r="M18" s="3" t="s">
        <v>28</v>
      </c>
    </row>
    <row r="19" spans="1:13" ht="24" x14ac:dyDescent="0.3">
      <c r="A19" s="3" t="s">
        <v>330</v>
      </c>
      <c r="B19" s="3" t="str">
        <f t="shared" si="0"/>
        <v>PD</v>
      </c>
      <c r="C19" s="4" t="s">
        <v>32</v>
      </c>
      <c r="D19" s="3" t="s">
        <v>217</v>
      </c>
      <c r="E19" s="3" t="s">
        <v>218</v>
      </c>
      <c r="F19" s="3" t="s">
        <v>194</v>
      </c>
      <c r="G19" s="3"/>
      <c r="I19" s="4" t="s">
        <v>206</v>
      </c>
      <c r="J19" s="5">
        <v>46189</v>
      </c>
      <c r="K19" s="3"/>
      <c r="L19" s="3" t="s">
        <v>6</v>
      </c>
      <c r="M19" s="3" t="s">
        <v>28</v>
      </c>
    </row>
    <row r="20" spans="1:13" ht="24" x14ac:dyDescent="0.3">
      <c r="A20" s="3" t="s">
        <v>331</v>
      </c>
      <c r="B20" s="3" t="str">
        <f t="shared" si="0"/>
        <v>PD</v>
      </c>
      <c r="C20" s="4" t="s">
        <v>33</v>
      </c>
      <c r="D20" s="3" t="s">
        <v>217</v>
      </c>
      <c r="E20" s="3" t="s">
        <v>219</v>
      </c>
      <c r="F20" s="3" t="s">
        <v>194</v>
      </c>
      <c r="G20" s="3"/>
      <c r="I20" s="4" t="s">
        <v>206</v>
      </c>
      <c r="J20" s="5">
        <v>46189</v>
      </c>
      <c r="K20" s="3"/>
      <c r="L20" s="3" t="s">
        <v>6</v>
      </c>
      <c r="M20" s="3" t="s">
        <v>34</v>
      </c>
    </row>
    <row r="21" spans="1:13" ht="24" x14ac:dyDescent="0.3">
      <c r="A21" s="3" t="s">
        <v>332</v>
      </c>
      <c r="B21" s="3" t="str">
        <f t="shared" si="0"/>
        <v>PD</v>
      </c>
      <c r="C21" s="4" t="s">
        <v>35</v>
      </c>
      <c r="D21" s="3" t="s">
        <v>217</v>
      </c>
      <c r="E21" s="3" t="s">
        <v>220</v>
      </c>
      <c r="F21" s="3" t="s">
        <v>194</v>
      </c>
      <c r="G21" s="3"/>
      <c r="I21" s="4" t="s">
        <v>206</v>
      </c>
      <c r="J21" s="5">
        <v>46189</v>
      </c>
      <c r="K21" s="3"/>
      <c r="L21" s="3" t="s">
        <v>6</v>
      </c>
      <c r="M21" s="3" t="s">
        <v>36</v>
      </c>
    </row>
    <row r="22" spans="1:13" x14ac:dyDescent="0.3">
      <c r="A22" s="3" t="s">
        <v>333</v>
      </c>
      <c r="B22" s="3" t="str">
        <f t="shared" si="0"/>
        <v>PD</v>
      </c>
      <c r="C22" s="4" t="s">
        <v>37</v>
      </c>
      <c r="D22" s="3" t="s">
        <v>217</v>
      </c>
      <c r="F22" s="3" t="s">
        <v>194</v>
      </c>
      <c r="G22" s="3"/>
      <c r="I22" s="4" t="s">
        <v>206</v>
      </c>
      <c r="J22" s="5">
        <v>46189</v>
      </c>
      <c r="K22" s="3"/>
      <c r="L22" s="3" t="s">
        <v>6</v>
      </c>
      <c r="M22" s="3" t="s">
        <v>38</v>
      </c>
    </row>
    <row r="23" spans="1:13" ht="24" x14ac:dyDescent="0.3">
      <c r="A23" s="3" t="s">
        <v>334</v>
      </c>
      <c r="B23" s="3" t="str">
        <f t="shared" si="0"/>
        <v>PD</v>
      </c>
      <c r="C23" s="4" t="s">
        <v>39</v>
      </c>
      <c r="D23" s="3" t="s">
        <v>217</v>
      </c>
      <c r="E23" s="3" t="s">
        <v>221</v>
      </c>
      <c r="F23" s="3" t="s">
        <v>194</v>
      </c>
      <c r="G23" s="3"/>
      <c r="I23" s="4" t="s">
        <v>206</v>
      </c>
      <c r="J23" s="5">
        <v>46189</v>
      </c>
      <c r="K23" s="3"/>
      <c r="L23" s="3" t="s">
        <v>6</v>
      </c>
      <c r="M23" s="3" t="s">
        <v>40</v>
      </c>
    </row>
    <row r="24" spans="1:13" ht="24" x14ac:dyDescent="0.3">
      <c r="A24" s="3" t="s">
        <v>335</v>
      </c>
      <c r="B24" s="3" t="str">
        <f t="shared" si="0"/>
        <v>PD</v>
      </c>
      <c r="C24" s="4" t="s">
        <v>41</v>
      </c>
      <c r="D24" s="3" t="s">
        <v>217</v>
      </c>
      <c r="F24" s="3" t="s">
        <v>194</v>
      </c>
      <c r="G24" s="3"/>
      <c r="I24" s="4" t="s">
        <v>206</v>
      </c>
      <c r="J24" s="5">
        <v>46189</v>
      </c>
      <c r="K24" s="3"/>
      <c r="L24" s="3" t="s">
        <v>6</v>
      </c>
      <c r="M24" s="3" t="s">
        <v>42</v>
      </c>
    </row>
    <row r="25" spans="1:13" ht="24" x14ac:dyDescent="0.3">
      <c r="A25" s="3" t="s">
        <v>336</v>
      </c>
      <c r="B25" s="3" t="str">
        <f t="shared" si="0"/>
        <v>PD</v>
      </c>
      <c r="C25" s="4" t="s">
        <v>43</v>
      </c>
      <c r="D25" s="3" t="s">
        <v>222</v>
      </c>
      <c r="E25" s="3" t="s">
        <v>223</v>
      </c>
      <c r="F25" s="3" t="s">
        <v>188</v>
      </c>
      <c r="G25" s="3"/>
      <c r="I25" s="4" t="s">
        <v>188</v>
      </c>
      <c r="J25" s="5">
        <v>46189</v>
      </c>
      <c r="K25" s="3" t="s">
        <v>224</v>
      </c>
      <c r="L25" s="3" t="s">
        <v>6</v>
      </c>
      <c r="M25" s="3" t="s">
        <v>42</v>
      </c>
    </row>
    <row r="26" spans="1:13" ht="36" x14ac:dyDescent="0.3">
      <c r="A26" s="3" t="s">
        <v>337</v>
      </c>
      <c r="B26" s="3" t="str">
        <f t="shared" si="0"/>
        <v>PD</v>
      </c>
      <c r="C26" s="4" t="s">
        <v>44</v>
      </c>
      <c r="D26" s="3" t="s">
        <v>225</v>
      </c>
      <c r="E26" s="3" t="s">
        <v>226</v>
      </c>
      <c r="F26" s="3" t="s">
        <v>188</v>
      </c>
      <c r="G26" s="3"/>
      <c r="I26" s="4" t="s">
        <v>188</v>
      </c>
      <c r="J26" s="5">
        <v>46189</v>
      </c>
      <c r="K26" s="3" t="s">
        <v>227</v>
      </c>
      <c r="L26" s="3" t="s">
        <v>6</v>
      </c>
      <c r="M26" s="3" t="s">
        <v>42</v>
      </c>
    </row>
    <row r="27" spans="1:13" ht="24" x14ac:dyDescent="0.3">
      <c r="A27" s="3" t="s">
        <v>338</v>
      </c>
      <c r="B27" s="3" t="str">
        <f t="shared" si="0"/>
        <v>PD</v>
      </c>
      <c r="C27" s="4" t="s">
        <v>45</v>
      </c>
      <c r="D27" s="3" t="s">
        <v>228</v>
      </c>
      <c r="E27" s="3" t="s">
        <v>229</v>
      </c>
      <c r="F27" s="3" t="s">
        <v>188</v>
      </c>
      <c r="G27" s="3"/>
      <c r="I27" s="4" t="s">
        <v>188</v>
      </c>
      <c r="J27" s="5">
        <v>46189</v>
      </c>
      <c r="K27" s="3"/>
      <c r="L27" s="3" t="s">
        <v>6</v>
      </c>
      <c r="M27" s="3" t="s">
        <v>46</v>
      </c>
    </row>
    <row r="28" spans="1:13" ht="24" x14ac:dyDescent="0.3">
      <c r="A28" s="3" t="s">
        <v>339</v>
      </c>
      <c r="B28" s="3" t="str">
        <f t="shared" si="0"/>
        <v>PD</v>
      </c>
      <c r="C28" s="4" t="s">
        <v>47</v>
      </c>
      <c r="D28" s="3" t="s">
        <v>230</v>
      </c>
      <c r="E28" s="3" t="s">
        <v>206</v>
      </c>
      <c r="F28" s="3" t="s">
        <v>188</v>
      </c>
      <c r="G28" s="3"/>
      <c r="I28" s="4" t="s">
        <v>188</v>
      </c>
      <c r="J28" s="5">
        <v>46189</v>
      </c>
      <c r="K28" s="3" t="s">
        <v>231</v>
      </c>
      <c r="L28" s="3" t="s">
        <v>6</v>
      </c>
      <c r="M28" s="3" t="s">
        <v>46</v>
      </c>
    </row>
    <row r="29" spans="1:13" ht="24" x14ac:dyDescent="0.3">
      <c r="A29" s="3" t="s">
        <v>340</v>
      </c>
      <c r="B29" s="3" t="str">
        <f t="shared" si="0"/>
        <v>RPTC</v>
      </c>
      <c r="C29" s="4" t="s">
        <v>48</v>
      </c>
      <c r="D29" s="3" t="s">
        <v>232</v>
      </c>
      <c r="E29" s="3" t="s">
        <v>206</v>
      </c>
      <c r="F29" s="3" t="s">
        <v>188</v>
      </c>
      <c r="G29" s="3"/>
      <c r="I29" s="4" t="s">
        <v>188</v>
      </c>
      <c r="J29" s="5">
        <v>46189</v>
      </c>
      <c r="K29" s="3" t="s">
        <v>233</v>
      </c>
      <c r="L29" s="3" t="s">
        <v>6</v>
      </c>
      <c r="M29" s="3" t="s">
        <v>46</v>
      </c>
    </row>
    <row r="30" spans="1:13" ht="24" x14ac:dyDescent="0.3">
      <c r="A30" s="3" t="s">
        <v>341</v>
      </c>
      <c r="B30" s="3" t="str">
        <f t="shared" si="0"/>
        <v>RPTC</v>
      </c>
      <c r="C30" s="4" t="s">
        <v>49</v>
      </c>
      <c r="D30" s="3" t="s">
        <v>217</v>
      </c>
      <c r="E30" s="3" t="s">
        <v>234</v>
      </c>
      <c r="F30" s="3" t="s">
        <v>194</v>
      </c>
      <c r="G30" s="3"/>
      <c r="I30" s="4" t="s">
        <v>206</v>
      </c>
      <c r="J30" s="5">
        <v>46189</v>
      </c>
      <c r="K30" s="3" t="s">
        <v>235</v>
      </c>
      <c r="L30" s="3" t="s">
        <v>6</v>
      </c>
      <c r="M30" s="3" t="s">
        <v>50</v>
      </c>
    </row>
    <row r="31" spans="1:13" x14ac:dyDescent="0.3">
      <c r="A31" s="3" t="s">
        <v>342</v>
      </c>
      <c r="B31" s="3" t="str">
        <f t="shared" si="0"/>
        <v>RPTC</v>
      </c>
      <c r="C31" s="4" t="s">
        <v>51</v>
      </c>
      <c r="D31" s="3" t="s">
        <v>217</v>
      </c>
      <c r="F31" s="3" t="s">
        <v>194</v>
      </c>
      <c r="G31" s="3"/>
      <c r="I31" s="4" t="s">
        <v>206</v>
      </c>
      <c r="J31" s="5">
        <v>46189</v>
      </c>
      <c r="K31" s="3"/>
      <c r="L31" s="3" t="s">
        <v>6</v>
      </c>
      <c r="M31" s="3" t="s">
        <v>50</v>
      </c>
    </row>
    <row r="32" spans="1:13" x14ac:dyDescent="0.3">
      <c r="A32" s="3" t="s">
        <v>343</v>
      </c>
      <c r="B32" s="3" t="str">
        <f t="shared" si="0"/>
        <v>RPTC</v>
      </c>
      <c r="C32" s="4" t="s">
        <v>52</v>
      </c>
      <c r="D32" s="3" t="s">
        <v>217</v>
      </c>
      <c r="F32" s="3" t="s">
        <v>194</v>
      </c>
      <c r="G32" s="3"/>
      <c r="I32" s="4" t="s">
        <v>206</v>
      </c>
      <c r="J32" s="5">
        <v>46189</v>
      </c>
      <c r="K32" s="3"/>
      <c r="L32" s="3" t="s">
        <v>6</v>
      </c>
      <c r="M32" s="3" t="s">
        <v>50</v>
      </c>
    </row>
    <row r="33" spans="1:13" ht="24" x14ac:dyDescent="0.3">
      <c r="A33" s="3" t="s">
        <v>344</v>
      </c>
      <c r="B33" s="3" t="str">
        <f t="shared" si="0"/>
        <v>RPTC</v>
      </c>
      <c r="C33" s="4" t="s">
        <v>53</v>
      </c>
      <c r="D33" s="3" t="s">
        <v>217</v>
      </c>
      <c r="F33" s="3" t="s">
        <v>194</v>
      </c>
      <c r="G33" s="3"/>
      <c r="I33" s="4" t="s">
        <v>206</v>
      </c>
      <c r="J33" s="5">
        <v>46189</v>
      </c>
      <c r="K33" s="3"/>
      <c r="L33" s="3" t="s">
        <v>6</v>
      </c>
      <c r="M33" s="3" t="s">
        <v>50</v>
      </c>
    </row>
    <row r="34" spans="1:13" x14ac:dyDescent="0.3">
      <c r="A34" s="3" t="s">
        <v>345</v>
      </c>
      <c r="B34" s="3" t="str">
        <f t="shared" si="0"/>
        <v>RPTC</v>
      </c>
      <c r="C34" s="4" t="s">
        <v>54</v>
      </c>
      <c r="D34" s="3" t="s">
        <v>217</v>
      </c>
      <c r="F34" s="3" t="s">
        <v>194</v>
      </c>
      <c r="G34" s="3"/>
      <c r="I34" s="4" t="s">
        <v>206</v>
      </c>
      <c r="J34" s="5">
        <v>46189</v>
      </c>
      <c r="K34" s="3"/>
      <c r="L34" s="3" t="s">
        <v>6</v>
      </c>
      <c r="M34" s="3" t="s">
        <v>50</v>
      </c>
    </row>
    <row r="35" spans="1:13" x14ac:dyDescent="0.3">
      <c r="A35" s="3" t="s">
        <v>346</v>
      </c>
      <c r="B35" s="3" t="str">
        <f t="shared" si="0"/>
        <v>PDF</v>
      </c>
      <c r="C35" s="4" t="s">
        <v>55</v>
      </c>
      <c r="D35" s="3" t="s">
        <v>217</v>
      </c>
      <c r="F35" s="3" t="s">
        <v>194</v>
      </c>
      <c r="G35" s="3"/>
      <c r="I35" s="4" t="s">
        <v>206</v>
      </c>
      <c r="J35" s="5">
        <v>46189</v>
      </c>
      <c r="K35" s="3"/>
      <c r="L35" s="3" t="s">
        <v>6</v>
      </c>
      <c r="M35" s="3" t="s">
        <v>50</v>
      </c>
    </row>
    <row r="36" spans="1:13" ht="24" x14ac:dyDescent="0.3">
      <c r="A36" s="3" t="s">
        <v>347</v>
      </c>
      <c r="B36" s="3" t="str">
        <f t="shared" si="0"/>
        <v>About Cidy</v>
      </c>
      <c r="C36" s="4" t="s">
        <v>56</v>
      </c>
      <c r="D36" s="3" t="s">
        <v>217</v>
      </c>
      <c r="F36" s="3" t="s">
        <v>194</v>
      </c>
      <c r="G36" s="3"/>
      <c r="I36" s="4" t="s">
        <v>206</v>
      </c>
      <c r="J36" s="5">
        <v>46189</v>
      </c>
      <c r="K36" s="3"/>
      <c r="L36" s="3" t="s">
        <v>6</v>
      </c>
      <c r="M36" s="3" t="s">
        <v>57</v>
      </c>
    </row>
    <row r="37" spans="1:13" x14ac:dyDescent="0.3">
      <c r="A37" s="3" t="s">
        <v>297</v>
      </c>
      <c r="B37" s="3" t="str">
        <f t="shared" si="0"/>
        <v>About Cidy</v>
      </c>
      <c r="C37" s="4" t="s">
        <v>58</v>
      </c>
      <c r="D37" s="3" t="s">
        <v>236</v>
      </c>
      <c r="E37" s="3" t="s">
        <v>237</v>
      </c>
      <c r="F37" s="3" t="s">
        <v>188</v>
      </c>
      <c r="G37" s="3"/>
      <c r="I37" s="4" t="s">
        <v>188</v>
      </c>
      <c r="J37" s="5">
        <v>46189</v>
      </c>
      <c r="K37" s="3"/>
      <c r="L37" s="3" t="s">
        <v>6</v>
      </c>
      <c r="M37" s="3" t="s">
        <v>59</v>
      </c>
    </row>
    <row r="38" spans="1:13" ht="24" x14ac:dyDescent="0.3">
      <c r="A38" s="3" t="s">
        <v>348</v>
      </c>
      <c r="B38" s="3" t="str">
        <f t="shared" si="0"/>
        <v>About Cidy</v>
      </c>
      <c r="C38" s="4" t="s">
        <v>60</v>
      </c>
      <c r="D38" s="3" t="s">
        <v>238</v>
      </c>
      <c r="F38" s="3" t="s">
        <v>188</v>
      </c>
      <c r="G38" s="3"/>
      <c r="I38" s="4" t="s">
        <v>188</v>
      </c>
      <c r="J38" s="5">
        <v>46189</v>
      </c>
      <c r="K38" s="3"/>
      <c r="L38" s="3" t="s">
        <v>6</v>
      </c>
      <c r="M38" s="3" t="s">
        <v>61</v>
      </c>
    </row>
    <row r="39" spans="1:13" x14ac:dyDescent="0.3">
      <c r="A39" s="3" t="s">
        <v>349</v>
      </c>
      <c r="B39" s="3" t="str">
        <f t="shared" si="0"/>
        <v>DA</v>
      </c>
      <c r="C39" s="4" t="s">
        <v>62</v>
      </c>
      <c r="D39" s="3" t="s">
        <v>239</v>
      </c>
      <c r="E39" s="3" t="s">
        <v>240</v>
      </c>
      <c r="F39" s="3" t="s">
        <v>188</v>
      </c>
      <c r="G39" s="3"/>
      <c r="I39" s="4" t="s">
        <v>188</v>
      </c>
      <c r="J39" s="5">
        <v>46189</v>
      </c>
      <c r="K39" s="3"/>
      <c r="L39" s="3" t="s">
        <v>6</v>
      </c>
      <c r="M39" s="3" t="s">
        <v>61</v>
      </c>
    </row>
    <row r="40" spans="1:13" x14ac:dyDescent="0.3">
      <c r="A40" s="3" t="s">
        <v>350</v>
      </c>
      <c r="B40" s="3" t="str">
        <f t="shared" si="0"/>
        <v>RPTC</v>
      </c>
      <c r="C40" s="4" t="s">
        <v>63</v>
      </c>
      <c r="D40" s="3" t="s">
        <v>217</v>
      </c>
      <c r="E40" s="3" t="s">
        <v>241</v>
      </c>
      <c r="F40" s="3" t="s">
        <v>194</v>
      </c>
      <c r="G40" s="3"/>
      <c r="I40" s="4" t="s">
        <v>206</v>
      </c>
      <c r="J40" s="5">
        <v>46189</v>
      </c>
      <c r="K40" s="3"/>
      <c r="L40" s="3" t="s">
        <v>64</v>
      </c>
      <c r="M40" s="3" t="s">
        <v>65</v>
      </c>
    </row>
    <row r="41" spans="1:13" x14ac:dyDescent="0.3">
      <c r="A41" s="3" t="s">
        <v>351</v>
      </c>
      <c r="B41" s="3" t="str">
        <f t="shared" si="0"/>
        <v>PDF</v>
      </c>
      <c r="C41" s="4" t="s">
        <v>66</v>
      </c>
      <c r="F41" s="3"/>
      <c r="G41" s="3"/>
      <c r="J41" s="5"/>
      <c r="K41" s="3"/>
      <c r="L41" s="3" t="s">
        <v>67</v>
      </c>
      <c r="M41" s="3" t="s">
        <v>68</v>
      </c>
    </row>
    <row r="42" spans="1:13" x14ac:dyDescent="0.3">
      <c r="A42" s="3" t="s">
        <v>352</v>
      </c>
      <c r="B42" s="3" t="str">
        <f t="shared" si="0"/>
        <v>Not Sure</v>
      </c>
      <c r="C42" s="4" t="s">
        <v>69</v>
      </c>
      <c r="F42" s="3"/>
      <c r="G42" s="3"/>
      <c r="J42" s="5"/>
      <c r="K42" s="3"/>
      <c r="L42" s="3" t="s">
        <v>70</v>
      </c>
      <c r="M42" s="3" t="s">
        <v>71</v>
      </c>
    </row>
    <row r="43" spans="1:13" x14ac:dyDescent="0.3">
      <c r="A43" s="3" t="s">
        <v>353</v>
      </c>
      <c r="B43" s="3" t="str">
        <f t="shared" si="0"/>
        <v>Not Sure</v>
      </c>
      <c r="C43" s="4" t="s">
        <v>72</v>
      </c>
      <c r="F43" s="3"/>
      <c r="G43" s="3"/>
      <c r="J43" s="5"/>
      <c r="K43" s="3"/>
      <c r="L43" s="3" t="s">
        <v>73</v>
      </c>
      <c r="M43" s="3" t="s">
        <v>74</v>
      </c>
    </row>
    <row r="44" spans="1:13" x14ac:dyDescent="0.3">
      <c r="A44" s="3" t="s">
        <v>354</v>
      </c>
      <c r="B44" s="3" t="str">
        <f t="shared" si="0"/>
        <v>Not Sure</v>
      </c>
      <c r="C44" s="4" t="s">
        <v>75</v>
      </c>
      <c r="F44" s="3"/>
      <c r="G44" s="3"/>
      <c r="J44" s="5"/>
      <c r="K44" s="3"/>
      <c r="L44" s="3" t="s">
        <v>64</v>
      </c>
      <c r="M44" s="3" t="s">
        <v>76</v>
      </c>
    </row>
    <row r="45" spans="1:13" x14ac:dyDescent="0.3">
      <c r="A45" s="3" t="s">
        <v>355</v>
      </c>
      <c r="B45" s="3" t="str">
        <f t="shared" si="0"/>
        <v>Not Sure</v>
      </c>
      <c r="C45" s="4" t="s">
        <v>75</v>
      </c>
      <c r="F45" s="3"/>
      <c r="G45" s="3"/>
      <c r="J45" s="5"/>
      <c r="K45" s="3"/>
      <c r="L45" s="3" t="s">
        <v>77</v>
      </c>
      <c r="M45" s="3" t="s">
        <v>78</v>
      </c>
    </row>
    <row r="46" spans="1:13" ht="24" x14ac:dyDescent="0.3">
      <c r="A46" s="3" t="s">
        <v>356</v>
      </c>
      <c r="B46" s="3" t="str">
        <f t="shared" si="0"/>
        <v>Not Sure</v>
      </c>
      <c r="C46" s="4" t="s">
        <v>79</v>
      </c>
      <c r="F46" s="3"/>
      <c r="G46" s="3"/>
      <c r="J46" s="5"/>
      <c r="K46" s="3"/>
      <c r="L46" s="3" t="s">
        <v>80</v>
      </c>
      <c r="M46" s="3" t="s">
        <v>81</v>
      </c>
    </row>
    <row r="47" spans="1:13" x14ac:dyDescent="0.3">
      <c r="A47" s="3" t="s">
        <v>357</v>
      </c>
      <c r="B47" s="3" t="str">
        <f t="shared" si="0"/>
        <v>Not Sure</v>
      </c>
      <c r="C47" s="4" t="s">
        <v>82</v>
      </c>
      <c r="F47" s="3"/>
      <c r="G47" s="3"/>
      <c r="J47" s="5"/>
      <c r="K47" s="3"/>
      <c r="L47" s="3" t="s">
        <v>83</v>
      </c>
      <c r="M47" s="3" t="s">
        <v>84</v>
      </c>
    </row>
    <row r="48" spans="1:13" x14ac:dyDescent="0.3">
      <c r="A48" s="3" t="s">
        <v>358</v>
      </c>
      <c r="B48" s="3" t="str">
        <f t="shared" si="0"/>
        <v>Not Sure</v>
      </c>
      <c r="C48" s="4" t="s">
        <v>85</v>
      </c>
      <c r="F48" s="3"/>
      <c r="G48" s="3"/>
      <c r="J48" s="5"/>
      <c r="K48" s="3"/>
      <c r="L48" s="3" t="s">
        <v>67</v>
      </c>
      <c r="M48" s="3" t="s">
        <v>86</v>
      </c>
    </row>
    <row r="49" spans="1:13" x14ac:dyDescent="0.3">
      <c r="A49" s="3" t="s">
        <v>359</v>
      </c>
      <c r="B49" s="3" t="str">
        <f t="shared" si="0"/>
        <v>Not Sure</v>
      </c>
      <c r="C49" s="4" t="s">
        <v>87</v>
      </c>
      <c r="F49" s="3"/>
      <c r="G49" s="3"/>
      <c r="J49" s="5"/>
      <c r="K49" s="3"/>
      <c r="L49" s="3" t="s">
        <v>88</v>
      </c>
      <c r="M49" s="3" t="s">
        <v>89</v>
      </c>
    </row>
    <row r="50" spans="1:13" x14ac:dyDescent="0.3">
      <c r="A50" s="3" t="s">
        <v>360</v>
      </c>
      <c r="B50" s="3" t="str">
        <f t="shared" si="0"/>
        <v>Not Sure</v>
      </c>
      <c r="C50" s="4" t="s">
        <v>87</v>
      </c>
      <c r="F50" s="3"/>
      <c r="G50" s="3"/>
      <c r="J50" s="5"/>
      <c r="K50" s="3"/>
      <c r="L50" s="3" t="s">
        <v>90</v>
      </c>
      <c r="M50" s="3" t="s">
        <v>91</v>
      </c>
    </row>
    <row r="51" spans="1:13" x14ac:dyDescent="0.3">
      <c r="A51" s="3" t="s">
        <v>361</v>
      </c>
      <c r="B51" s="3" t="str">
        <f t="shared" si="0"/>
        <v>Not Sure</v>
      </c>
      <c r="C51" s="4" t="s">
        <v>92</v>
      </c>
      <c r="F51" s="3"/>
      <c r="G51" s="3"/>
      <c r="J51" s="5"/>
      <c r="K51" s="3"/>
      <c r="L51" s="3" t="s">
        <v>93</v>
      </c>
      <c r="M51" s="3" t="s">
        <v>94</v>
      </c>
    </row>
    <row r="52" spans="1:13" x14ac:dyDescent="0.3">
      <c r="A52" s="3" t="s">
        <v>362</v>
      </c>
      <c r="B52" s="3" t="str">
        <f t="shared" si="0"/>
        <v>Not Sure</v>
      </c>
      <c r="C52" s="4" t="s">
        <v>95</v>
      </c>
      <c r="F52" s="3"/>
      <c r="G52" s="3"/>
      <c r="J52" s="5"/>
      <c r="K52" s="3"/>
      <c r="L52" s="3" t="s">
        <v>96</v>
      </c>
      <c r="M52" s="3" t="s">
        <v>97</v>
      </c>
    </row>
    <row r="53" spans="1:13" x14ac:dyDescent="0.3">
      <c r="A53" s="3" t="s">
        <v>363</v>
      </c>
      <c r="B53" s="3" t="str">
        <f t="shared" si="0"/>
        <v>Not Sure</v>
      </c>
      <c r="C53" s="4" t="s">
        <v>98</v>
      </c>
      <c r="F53" s="3"/>
      <c r="G53" s="3"/>
      <c r="J53" s="5"/>
      <c r="K53" s="3"/>
      <c r="L53" s="3" t="s">
        <v>99</v>
      </c>
      <c r="M53" s="3" t="s">
        <v>100</v>
      </c>
    </row>
    <row r="54" spans="1:13" x14ac:dyDescent="0.3">
      <c r="A54" s="3" t="s">
        <v>364</v>
      </c>
      <c r="B54" s="3" t="str">
        <f t="shared" si="0"/>
        <v>Not Sure</v>
      </c>
      <c r="C54" s="4" t="s">
        <v>101</v>
      </c>
      <c r="F54" s="3"/>
      <c r="G54" s="3"/>
      <c r="J54" s="5"/>
      <c r="K54" s="3"/>
      <c r="L54" s="3" t="s">
        <v>102</v>
      </c>
      <c r="M54" s="3" t="s">
        <v>103</v>
      </c>
    </row>
    <row r="55" spans="1:13" x14ac:dyDescent="0.3">
      <c r="A55" s="3" t="s">
        <v>365</v>
      </c>
      <c r="B55" s="3" t="str">
        <f t="shared" si="0"/>
        <v>Not Sure</v>
      </c>
      <c r="C55" s="4" t="s">
        <v>104</v>
      </c>
      <c r="F55" s="3"/>
      <c r="G55" s="3"/>
      <c r="J55" s="5"/>
      <c r="K55" s="3"/>
      <c r="L55" s="3" t="s">
        <v>105</v>
      </c>
      <c r="M55" s="3" t="s">
        <v>106</v>
      </c>
    </row>
    <row r="56" spans="1:13" x14ac:dyDescent="0.3">
      <c r="A56" s="3" t="s">
        <v>366</v>
      </c>
      <c r="B56" s="3" t="str">
        <f t="shared" si="0"/>
        <v>Not Sure</v>
      </c>
      <c r="C56" s="4" t="s">
        <v>107</v>
      </c>
      <c r="F56" s="3"/>
      <c r="G56" s="3"/>
      <c r="J56" s="5"/>
      <c r="K56" s="3"/>
      <c r="L56" s="3" t="s">
        <v>108</v>
      </c>
      <c r="M56" s="3" t="s">
        <v>109</v>
      </c>
    </row>
    <row r="57" spans="1:13" x14ac:dyDescent="0.3">
      <c r="A57" s="3" t="s">
        <v>269</v>
      </c>
      <c r="B57" s="3" t="str">
        <f t="shared" ref="B34:B65" si="1">_xlfn.TEXTBEFORE(_xlfn.TEXTAFTER(A57,"[",-1),"]")</f>
        <v>Not Sure</v>
      </c>
      <c r="C57" s="4" t="s">
        <v>110</v>
      </c>
      <c r="D57" s="3" t="s">
        <v>244</v>
      </c>
      <c r="F57" s="3"/>
      <c r="G57" s="3"/>
      <c r="J57" s="3"/>
      <c r="K57" s="3"/>
      <c r="L57" s="3" t="s">
        <v>6</v>
      </c>
      <c r="M57" s="3" t="s">
        <v>111</v>
      </c>
    </row>
    <row r="58" spans="1:13" x14ac:dyDescent="0.3">
      <c r="A58" s="3" t="s">
        <v>270</v>
      </c>
      <c r="B58" s="3" t="str">
        <f t="shared" si="1"/>
        <v>Not Sure</v>
      </c>
      <c r="C58" s="4" t="s">
        <v>112</v>
      </c>
      <c r="D58" s="3" t="s">
        <v>245</v>
      </c>
      <c r="F58" s="3" t="s">
        <v>246</v>
      </c>
      <c r="G58" s="3"/>
      <c r="H58" s="4" t="s">
        <v>247</v>
      </c>
      <c r="I58" s="4" t="s">
        <v>243</v>
      </c>
      <c r="J58" s="3"/>
      <c r="K58" s="3"/>
      <c r="L58" s="3" t="s">
        <v>6</v>
      </c>
      <c r="M58" s="3" t="s">
        <v>113</v>
      </c>
    </row>
    <row r="59" spans="1:13" x14ac:dyDescent="0.3">
      <c r="A59" s="3" t="s">
        <v>271</v>
      </c>
      <c r="B59" s="3" t="str">
        <f t="shared" si="1"/>
        <v>Not Sure</v>
      </c>
      <c r="C59" s="4" t="s">
        <v>101</v>
      </c>
      <c r="D59" s="3" t="s">
        <v>248</v>
      </c>
      <c r="F59" s="3"/>
      <c r="G59" s="3"/>
      <c r="J59" s="3"/>
      <c r="K59" s="3"/>
      <c r="L59" s="3" t="s">
        <v>6</v>
      </c>
      <c r="M59" s="3" t="s">
        <v>114</v>
      </c>
    </row>
    <row r="60" spans="1:13" x14ac:dyDescent="0.3">
      <c r="A60" s="3" t="s">
        <v>272</v>
      </c>
      <c r="B60" s="3" t="str">
        <f t="shared" si="1"/>
        <v>Not Sure</v>
      </c>
      <c r="C60" s="4" t="s">
        <v>115</v>
      </c>
      <c r="D60" s="3" t="s">
        <v>249</v>
      </c>
      <c r="F60" s="3"/>
      <c r="G60" s="3"/>
      <c r="J60" s="3"/>
      <c r="K60" s="3"/>
      <c r="L60" s="3" t="s">
        <v>6</v>
      </c>
      <c r="M60" s="3" t="s">
        <v>116</v>
      </c>
    </row>
    <row r="61" spans="1:13" ht="12" customHeight="1" x14ac:dyDescent="0.3">
      <c r="A61" s="3" t="s">
        <v>273</v>
      </c>
      <c r="B61" s="3" t="str">
        <f t="shared" si="1"/>
        <v>Not Sure</v>
      </c>
      <c r="C61" s="4" t="s">
        <v>117</v>
      </c>
      <c r="D61" s="4" t="s">
        <v>250</v>
      </c>
      <c r="E61" s="4"/>
      <c r="F61" s="3" t="s">
        <v>188</v>
      </c>
      <c r="G61" s="3"/>
      <c r="H61" s="4" t="s">
        <v>251</v>
      </c>
      <c r="I61" s="4" t="s">
        <v>188</v>
      </c>
      <c r="J61" s="5">
        <v>46189</v>
      </c>
      <c r="K61" s="3"/>
      <c r="L61" s="3" t="s">
        <v>6</v>
      </c>
      <c r="M61" s="3" t="s">
        <v>118</v>
      </c>
    </row>
    <row r="62" spans="1:13" x14ac:dyDescent="0.3">
      <c r="A62" s="3" t="s">
        <v>274</v>
      </c>
      <c r="B62" s="3" t="str">
        <f t="shared" si="1"/>
        <v>OOS</v>
      </c>
      <c r="C62" s="4" t="s">
        <v>119</v>
      </c>
      <c r="D62" s="3" t="s">
        <v>201</v>
      </c>
      <c r="F62" s="3" t="s">
        <v>188</v>
      </c>
      <c r="G62" s="3"/>
      <c r="H62" s="4" t="s">
        <v>189</v>
      </c>
      <c r="J62" s="3"/>
      <c r="K62" s="3"/>
      <c r="L62" s="3" t="s">
        <v>6</v>
      </c>
      <c r="M62" s="3" t="s">
        <v>120</v>
      </c>
    </row>
    <row r="63" spans="1:13" x14ac:dyDescent="0.3">
      <c r="A63" s="3" t="s">
        <v>275</v>
      </c>
      <c r="B63" s="3" t="str">
        <f t="shared" si="1"/>
        <v>OOS</v>
      </c>
      <c r="C63" s="4" t="s">
        <v>121</v>
      </c>
      <c r="D63" s="3" t="s">
        <v>201</v>
      </c>
      <c r="F63" s="3" t="s">
        <v>188</v>
      </c>
      <c r="G63" s="3"/>
      <c r="H63" s="4" t="s">
        <v>189</v>
      </c>
      <c r="J63" s="3"/>
      <c r="K63" s="3"/>
      <c r="L63" s="3" t="s">
        <v>6</v>
      </c>
      <c r="M63" s="3" t="s">
        <v>122</v>
      </c>
    </row>
    <row r="64" spans="1:13" x14ac:dyDescent="0.3">
      <c r="A64" s="3" t="s">
        <v>276</v>
      </c>
      <c r="B64" s="3" t="str">
        <f t="shared" si="1"/>
        <v>OOS</v>
      </c>
      <c r="C64" s="4" t="s">
        <v>123</v>
      </c>
      <c r="D64" s="3" t="s">
        <v>201</v>
      </c>
      <c r="F64" s="3" t="s">
        <v>188</v>
      </c>
      <c r="G64" s="3"/>
      <c r="H64" s="4" t="s">
        <v>189</v>
      </c>
      <c r="J64" s="3"/>
      <c r="K64" s="3"/>
      <c r="L64" s="3" t="s">
        <v>6</v>
      </c>
      <c r="M64" s="3" t="s">
        <v>124</v>
      </c>
    </row>
    <row r="65" spans="1:14" x14ac:dyDescent="0.3">
      <c r="A65" s="3" t="s">
        <v>277</v>
      </c>
      <c r="B65" s="3" t="str">
        <f t="shared" si="1"/>
        <v>OOS</v>
      </c>
      <c r="C65" s="4" t="s">
        <v>125</v>
      </c>
      <c r="D65" s="3" t="s">
        <v>201</v>
      </c>
      <c r="F65" s="3" t="s">
        <v>188</v>
      </c>
      <c r="G65" s="3"/>
      <c r="H65" s="4" t="s">
        <v>189</v>
      </c>
      <c r="J65" s="3"/>
      <c r="K65" s="3"/>
      <c r="L65" s="3" t="s">
        <v>6</v>
      </c>
      <c r="M65" s="3" t="s">
        <v>126</v>
      </c>
    </row>
    <row r="66" spans="1:14" x14ac:dyDescent="0.3">
      <c r="A66" s="3" t="s">
        <v>278</v>
      </c>
      <c r="B66" s="3" t="str">
        <f t="shared" ref="B66:B97" si="2">_xlfn.TEXTBEFORE(_xlfn.TEXTAFTER(A66,"[",-1),"]")</f>
        <v>OOS</v>
      </c>
      <c r="C66" s="4" t="s">
        <v>127</v>
      </c>
      <c r="D66" s="3" t="s">
        <v>201</v>
      </c>
      <c r="F66" s="3" t="s">
        <v>188</v>
      </c>
      <c r="G66" s="3"/>
      <c r="H66" s="4" t="s">
        <v>189</v>
      </c>
      <c r="J66" s="3"/>
      <c r="K66" s="3"/>
      <c r="L66" s="3" t="s">
        <v>6</v>
      </c>
      <c r="M66" s="3" t="s">
        <v>126</v>
      </c>
    </row>
    <row r="67" spans="1:14" ht="24" x14ac:dyDescent="0.3">
      <c r="A67" s="3" t="s">
        <v>279</v>
      </c>
      <c r="B67" s="3" t="str">
        <f t="shared" si="2"/>
        <v>RPTC</v>
      </c>
      <c r="C67" s="4" t="s">
        <v>128</v>
      </c>
      <c r="D67" s="3" t="s">
        <v>252</v>
      </c>
      <c r="F67" s="3" t="s">
        <v>246</v>
      </c>
      <c r="G67" s="3"/>
      <c r="H67" s="4" t="s">
        <v>242</v>
      </c>
      <c r="I67" s="4" t="s">
        <v>246</v>
      </c>
      <c r="J67" s="3"/>
      <c r="K67" s="3"/>
      <c r="L67" s="3" t="s">
        <v>6</v>
      </c>
      <c r="M67" s="3" t="s">
        <v>50</v>
      </c>
      <c r="N67" s="3" t="s">
        <v>129</v>
      </c>
    </row>
    <row r="68" spans="1:14" ht="24" x14ac:dyDescent="0.3">
      <c r="A68" s="3" t="s">
        <v>280</v>
      </c>
      <c r="B68" s="3" t="str">
        <f t="shared" si="2"/>
        <v>RPTC</v>
      </c>
      <c r="C68" s="4" t="s">
        <v>130</v>
      </c>
      <c r="D68" s="3" t="s">
        <v>252</v>
      </c>
      <c r="F68" s="3" t="s">
        <v>246</v>
      </c>
      <c r="G68" s="3"/>
      <c r="H68" s="4" t="s">
        <v>242</v>
      </c>
      <c r="I68" s="4" t="s">
        <v>246</v>
      </c>
      <c r="J68" s="3"/>
      <c r="K68" s="3"/>
      <c r="L68" s="3" t="s">
        <v>6</v>
      </c>
      <c r="M68" s="3" t="s">
        <v>50</v>
      </c>
      <c r="N68" s="3" t="s">
        <v>129</v>
      </c>
    </row>
    <row r="69" spans="1:14" ht="36" x14ac:dyDescent="0.3">
      <c r="A69" s="3" t="s">
        <v>281</v>
      </c>
      <c r="B69" s="3" t="str">
        <f t="shared" si="2"/>
        <v>RPTC</v>
      </c>
      <c r="C69" s="4" t="s">
        <v>131</v>
      </c>
      <c r="D69" s="3" t="s">
        <v>252</v>
      </c>
      <c r="F69" s="3" t="s">
        <v>246</v>
      </c>
      <c r="G69" s="3"/>
      <c r="H69" s="4" t="s">
        <v>242</v>
      </c>
      <c r="I69" s="4" t="s">
        <v>246</v>
      </c>
      <c r="J69" s="3"/>
      <c r="K69" s="3"/>
      <c r="L69" s="3" t="s">
        <v>6</v>
      </c>
      <c r="M69" s="3" t="s">
        <v>50</v>
      </c>
      <c r="N69" s="3" t="s">
        <v>129</v>
      </c>
    </row>
    <row r="70" spans="1:14" ht="24" x14ac:dyDescent="0.3">
      <c r="A70" s="3" t="s">
        <v>282</v>
      </c>
      <c r="B70" s="3" t="str">
        <f t="shared" si="2"/>
        <v>RPTC</v>
      </c>
      <c r="C70" s="4" t="s">
        <v>132</v>
      </c>
      <c r="D70" s="3" t="s">
        <v>252</v>
      </c>
      <c r="F70" s="3" t="s">
        <v>246</v>
      </c>
      <c r="G70" s="3"/>
      <c r="H70" s="4" t="s">
        <v>242</v>
      </c>
      <c r="I70" s="4" t="s">
        <v>246</v>
      </c>
      <c r="J70" s="3"/>
      <c r="K70" s="3"/>
      <c r="L70" s="3" t="s">
        <v>6</v>
      </c>
      <c r="M70" s="3" t="s">
        <v>50</v>
      </c>
      <c r="N70" s="3" t="s">
        <v>129</v>
      </c>
    </row>
    <row r="71" spans="1:14" ht="24" x14ac:dyDescent="0.3">
      <c r="A71" s="3" t="s">
        <v>283</v>
      </c>
      <c r="B71" s="3" t="str">
        <f t="shared" si="2"/>
        <v>RPTC</v>
      </c>
      <c r="C71" s="4" t="s">
        <v>133</v>
      </c>
      <c r="D71" s="3" t="s">
        <v>252</v>
      </c>
      <c r="F71" s="3" t="s">
        <v>246</v>
      </c>
      <c r="G71" s="3"/>
      <c r="H71" s="4" t="s">
        <v>242</v>
      </c>
      <c r="I71" s="4" t="s">
        <v>246</v>
      </c>
      <c r="J71" s="3"/>
      <c r="K71" s="3"/>
      <c r="L71" s="3" t="s">
        <v>6</v>
      </c>
      <c r="M71" s="3" t="s">
        <v>50</v>
      </c>
      <c r="N71" s="3" t="s">
        <v>129</v>
      </c>
    </row>
    <row r="72" spans="1:14" ht="36" x14ac:dyDescent="0.3">
      <c r="A72" s="3" t="s">
        <v>284</v>
      </c>
      <c r="B72" s="3" t="str">
        <f t="shared" si="2"/>
        <v>RPTC</v>
      </c>
      <c r="C72" s="4" t="s">
        <v>134</v>
      </c>
      <c r="D72" s="3" t="s">
        <v>252</v>
      </c>
      <c r="F72" s="3" t="s">
        <v>246</v>
      </c>
      <c r="G72" s="3"/>
      <c r="H72" s="4" t="s">
        <v>242</v>
      </c>
      <c r="I72" s="4" t="s">
        <v>246</v>
      </c>
      <c r="J72" s="3"/>
      <c r="K72" s="3"/>
      <c r="L72" s="3" t="s">
        <v>6</v>
      </c>
      <c r="M72" s="3" t="s">
        <v>135</v>
      </c>
      <c r="N72" s="3" t="s">
        <v>129</v>
      </c>
    </row>
    <row r="73" spans="1:14" ht="36" x14ac:dyDescent="0.3">
      <c r="A73" s="3" t="s">
        <v>285</v>
      </c>
      <c r="B73" s="3" t="str">
        <f t="shared" si="2"/>
        <v>RPTC</v>
      </c>
      <c r="C73" s="4" t="s">
        <v>136</v>
      </c>
      <c r="F73" s="3"/>
      <c r="G73" s="3"/>
      <c r="J73" s="3"/>
      <c r="K73" s="3"/>
      <c r="L73" s="3" t="s">
        <v>6</v>
      </c>
      <c r="M73" s="3" t="s">
        <v>135</v>
      </c>
      <c r="N73" s="3" t="s">
        <v>129</v>
      </c>
    </row>
    <row r="74" spans="1:14" ht="36" x14ac:dyDescent="0.3">
      <c r="A74" s="3" t="s">
        <v>286</v>
      </c>
      <c r="B74" s="3" t="str">
        <f t="shared" si="2"/>
        <v>RPTC</v>
      </c>
      <c r="C74" s="4" t="s">
        <v>137</v>
      </c>
      <c r="F74" s="3"/>
      <c r="G74" s="3"/>
      <c r="J74" s="3"/>
      <c r="K74" s="3"/>
      <c r="L74" s="3" t="s">
        <v>6</v>
      </c>
      <c r="M74" s="3" t="s">
        <v>135</v>
      </c>
      <c r="N74" s="3" t="s">
        <v>129</v>
      </c>
    </row>
    <row r="75" spans="1:14" ht="36" x14ac:dyDescent="0.3">
      <c r="A75" s="3" t="s">
        <v>287</v>
      </c>
      <c r="B75" s="3" t="str">
        <f t="shared" si="2"/>
        <v>RPTC</v>
      </c>
      <c r="C75" s="4" t="s">
        <v>138</v>
      </c>
      <c r="F75" s="3"/>
      <c r="G75" s="3"/>
      <c r="J75" s="3"/>
      <c r="K75" s="3"/>
      <c r="L75" s="3" t="s">
        <v>6</v>
      </c>
      <c r="M75" s="3" t="s">
        <v>135</v>
      </c>
      <c r="N75" s="3" t="s">
        <v>129</v>
      </c>
    </row>
    <row r="76" spans="1:14" ht="36" x14ac:dyDescent="0.3">
      <c r="A76" s="3" t="s">
        <v>288</v>
      </c>
      <c r="B76" s="3" t="str">
        <f t="shared" si="2"/>
        <v>RPTC</v>
      </c>
      <c r="C76" s="4" t="s">
        <v>139</v>
      </c>
      <c r="F76" s="3"/>
      <c r="G76" s="3"/>
      <c r="J76" s="3"/>
      <c r="K76" s="3"/>
      <c r="L76" s="3" t="s">
        <v>6</v>
      </c>
      <c r="M76" s="3" t="s">
        <v>135</v>
      </c>
      <c r="N76" s="3" t="s">
        <v>129</v>
      </c>
    </row>
    <row r="77" spans="1:14" ht="35.4" customHeight="1" x14ac:dyDescent="0.3">
      <c r="A77" s="3" t="s">
        <v>289</v>
      </c>
      <c r="B77" s="3" t="str">
        <f t="shared" si="2"/>
        <v>RPTC</v>
      </c>
      <c r="C77" s="4" t="s">
        <v>140</v>
      </c>
      <c r="D77" s="4" t="s">
        <v>253</v>
      </c>
      <c r="E77" s="4"/>
      <c r="F77" s="3" t="s">
        <v>188</v>
      </c>
      <c r="G77" s="3"/>
      <c r="H77" s="4" t="s">
        <v>254</v>
      </c>
      <c r="I77" s="4" t="s">
        <v>188</v>
      </c>
      <c r="J77" s="3"/>
      <c r="K77" s="3"/>
      <c r="L77" s="3" t="s">
        <v>6</v>
      </c>
      <c r="M77" s="3" t="s">
        <v>141</v>
      </c>
      <c r="N77" s="3" t="s">
        <v>142</v>
      </c>
    </row>
    <row r="78" spans="1:14" ht="24" x14ac:dyDescent="0.3">
      <c r="A78" s="3" t="s">
        <v>290</v>
      </c>
      <c r="B78" s="3" t="str">
        <f t="shared" si="2"/>
        <v>PD</v>
      </c>
      <c r="C78" s="4" t="s">
        <v>143</v>
      </c>
      <c r="D78" s="3" t="s">
        <v>252</v>
      </c>
      <c r="F78" s="3" t="s">
        <v>246</v>
      </c>
      <c r="G78" s="3"/>
      <c r="H78" s="4" t="s">
        <v>242</v>
      </c>
      <c r="I78" s="4" t="s">
        <v>246</v>
      </c>
      <c r="J78" s="3"/>
      <c r="K78" s="3"/>
      <c r="L78" s="3" t="s">
        <v>6</v>
      </c>
      <c r="M78" s="3" t="s">
        <v>141</v>
      </c>
      <c r="N78" s="3" t="s">
        <v>142</v>
      </c>
    </row>
    <row r="79" spans="1:14" ht="24" x14ac:dyDescent="0.3">
      <c r="A79" s="3" t="s">
        <v>291</v>
      </c>
      <c r="B79" s="3" t="str">
        <f t="shared" si="2"/>
        <v>PD</v>
      </c>
      <c r="C79" s="4" t="s">
        <v>144</v>
      </c>
      <c r="D79" s="3" t="s">
        <v>252</v>
      </c>
      <c r="F79" s="3" t="s">
        <v>246</v>
      </c>
      <c r="G79" s="3"/>
      <c r="H79" s="4" t="s">
        <v>242</v>
      </c>
      <c r="I79" s="4" t="s">
        <v>246</v>
      </c>
      <c r="J79" s="3"/>
      <c r="K79" s="3"/>
      <c r="L79" s="3" t="s">
        <v>6</v>
      </c>
      <c r="M79" s="3" t="s">
        <v>141</v>
      </c>
      <c r="N79" s="3" t="s">
        <v>142</v>
      </c>
    </row>
    <row r="80" spans="1:14" x14ac:dyDescent="0.3">
      <c r="A80" s="3" t="s">
        <v>292</v>
      </c>
      <c r="B80" s="3" t="str">
        <f t="shared" si="2"/>
        <v>PD</v>
      </c>
      <c r="C80" s="4" t="s">
        <v>145</v>
      </c>
      <c r="D80" s="3" t="s">
        <v>252</v>
      </c>
      <c r="F80" s="3" t="s">
        <v>246</v>
      </c>
      <c r="G80" s="3"/>
      <c r="H80" s="4" t="s">
        <v>242</v>
      </c>
      <c r="I80" s="4" t="s">
        <v>246</v>
      </c>
      <c r="J80" s="3"/>
      <c r="K80" s="3"/>
      <c r="L80" s="3" t="s">
        <v>6</v>
      </c>
      <c r="M80" s="3" t="s">
        <v>146</v>
      </c>
      <c r="N80" s="3" t="s">
        <v>142</v>
      </c>
    </row>
    <row r="81" spans="1:14" ht="36" x14ac:dyDescent="0.3">
      <c r="A81" s="3" t="s">
        <v>293</v>
      </c>
      <c r="B81" s="3" t="str">
        <f t="shared" si="2"/>
        <v>PD</v>
      </c>
      <c r="C81" s="4" t="s">
        <v>147</v>
      </c>
      <c r="F81" s="3"/>
      <c r="G81" s="3"/>
      <c r="J81" s="3"/>
      <c r="K81" s="3"/>
      <c r="L81" s="3" t="s">
        <v>6</v>
      </c>
      <c r="M81" s="3" t="s">
        <v>146</v>
      </c>
      <c r="N81" s="3" t="s">
        <v>142</v>
      </c>
    </row>
    <row r="82" spans="1:14" ht="24" x14ac:dyDescent="0.3">
      <c r="A82" s="3" t="s">
        <v>294</v>
      </c>
      <c r="B82" s="3" t="str">
        <f t="shared" si="2"/>
        <v>Not Sure</v>
      </c>
      <c r="C82" s="4" t="s">
        <v>148</v>
      </c>
      <c r="F82" s="3"/>
      <c r="G82" s="3"/>
      <c r="J82" s="3"/>
      <c r="K82" s="3"/>
      <c r="L82" s="3" t="s">
        <v>77</v>
      </c>
      <c r="M82" s="3" t="s">
        <v>149</v>
      </c>
      <c r="N82" s="3" t="s">
        <v>142</v>
      </c>
    </row>
    <row r="83" spans="1:14" ht="24" x14ac:dyDescent="0.3">
      <c r="A83" s="3" t="s">
        <v>295</v>
      </c>
      <c r="B83" s="3" t="str">
        <f t="shared" si="2"/>
        <v>About Cidy</v>
      </c>
      <c r="C83" s="4" t="s">
        <v>150</v>
      </c>
      <c r="D83" s="3" t="s">
        <v>252</v>
      </c>
      <c r="F83" s="3" t="s">
        <v>246</v>
      </c>
      <c r="G83" s="3"/>
      <c r="H83" s="4" t="s">
        <v>242</v>
      </c>
      <c r="I83" s="4" t="s">
        <v>246</v>
      </c>
      <c r="J83" s="3"/>
      <c r="K83" s="3"/>
      <c r="L83" s="3" t="s">
        <v>6</v>
      </c>
      <c r="M83" s="3" t="s">
        <v>151</v>
      </c>
      <c r="N83" s="3" t="s">
        <v>142</v>
      </c>
    </row>
    <row r="84" spans="1:14" ht="24" x14ac:dyDescent="0.3">
      <c r="A84" s="3" t="s">
        <v>296</v>
      </c>
      <c r="B84" s="3" t="str">
        <f t="shared" si="2"/>
        <v>About Cidy</v>
      </c>
      <c r="C84" s="4" t="s">
        <v>152</v>
      </c>
      <c r="D84" s="3" t="s">
        <v>252</v>
      </c>
      <c r="F84" s="3" t="s">
        <v>246</v>
      </c>
      <c r="G84" s="3"/>
      <c r="H84" s="4" t="s">
        <v>242</v>
      </c>
      <c r="I84" s="4" t="s">
        <v>246</v>
      </c>
      <c r="J84" s="3"/>
      <c r="K84" s="3"/>
      <c r="L84" s="3" t="s">
        <v>6</v>
      </c>
      <c r="M84" s="3" t="s">
        <v>153</v>
      </c>
      <c r="N84" s="3" t="s">
        <v>142</v>
      </c>
    </row>
    <row r="85" spans="1:14" ht="24" x14ac:dyDescent="0.3">
      <c r="A85" s="3" t="s">
        <v>297</v>
      </c>
      <c r="B85" s="3" t="str">
        <f t="shared" si="2"/>
        <v>About Cidy</v>
      </c>
      <c r="C85" s="4" t="s">
        <v>154</v>
      </c>
      <c r="D85" s="3" t="s">
        <v>252</v>
      </c>
      <c r="F85" s="3" t="s">
        <v>246</v>
      </c>
      <c r="G85" s="3"/>
      <c r="H85" s="4" t="s">
        <v>242</v>
      </c>
      <c r="I85" s="4" t="s">
        <v>246</v>
      </c>
      <c r="J85" s="3"/>
      <c r="K85" s="3"/>
      <c r="L85" s="3" t="s">
        <v>6</v>
      </c>
      <c r="M85" s="3" t="s">
        <v>153</v>
      </c>
      <c r="N85" s="3" t="s">
        <v>142</v>
      </c>
    </row>
    <row r="86" spans="1:14" ht="36" x14ac:dyDescent="0.3">
      <c r="A86" s="3" t="s">
        <v>298</v>
      </c>
      <c r="B86" s="3" t="str">
        <f t="shared" si="2"/>
        <v>About Cidy</v>
      </c>
      <c r="C86" s="4" t="s">
        <v>155</v>
      </c>
      <c r="D86" s="3" t="s">
        <v>252</v>
      </c>
      <c r="F86" s="3" t="s">
        <v>246</v>
      </c>
      <c r="G86" s="3"/>
      <c r="H86" s="4" t="s">
        <v>242</v>
      </c>
      <c r="I86" s="4" t="s">
        <v>246</v>
      </c>
      <c r="J86" s="3"/>
      <c r="K86" s="3"/>
      <c r="L86" s="3" t="s">
        <v>6</v>
      </c>
      <c r="M86" s="3" t="s">
        <v>153</v>
      </c>
      <c r="N86" s="3" t="s">
        <v>142</v>
      </c>
    </row>
    <row r="87" spans="1:14" ht="24" x14ac:dyDescent="0.3">
      <c r="A87" s="3" t="s">
        <v>299</v>
      </c>
      <c r="B87" s="3" t="str">
        <f t="shared" si="2"/>
        <v>About Cidy</v>
      </c>
      <c r="C87" s="4" t="s">
        <v>156</v>
      </c>
      <c r="F87" s="3"/>
      <c r="G87" s="3"/>
      <c r="J87" s="3"/>
      <c r="K87" s="3"/>
      <c r="L87" s="3" t="s">
        <v>6</v>
      </c>
      <c r="M87" s="3" t="s">
        <v>153</v>
      </c>
      <c r="N87" s="3" t="s">
        <v>142</v>
      </c>
    </row>
    <row r="88" spans="1:14" ht="24" x14ac:dyDescent="0.3">
      <c r="A88" s="3" t="s">
        <v>300</v>
      </c>
      <c r="B88" s="3" t="str">
        <f t="shared" si="2"/>
        <v>About Cidy</v>
      </c>
      <c r="C88" s="4" t="s">
        <v>157</v>
      </c>
      <c r="F88" s="3"/>
      <c r="G88" s="3"/>
      <c r="J88" s="3"/>
      <c r="K88" s="3"/>
      <c r="L88" s="3" t="s">
        <v>6</v>
      </c>
      <c r="M88" s="3" t="s">
        <v>153</v>
      </c>
      <c r="N88" s="3" t="s">
        <v>142</v>
      </c>
    </row>
    <row r="89" spans="1:14" ht="24" x14ac:dyDescent="0.3">
      <c r="A89" s="3" t="s">
        <v>301</v>
      </c>
      <c r="B89" s="3" t="str">
        <f t="shared" si="2"/>
        <v>About Cidy</v>
      </c>
      <c r="C89" s="4" t="s">
        <v>158</v>
      </c>
      <c r="F89" s="3"/>
      <c r="G89" s="3"/>
      <c r="J89" s="3"/>
      <c r="K89" s="3"/>
      <c r="L89" s="3" t="s">
        <v>6</v>
      </c>
      <c r="M89" s="3" t="s">
        <v>153</v>
      </c>
      <c r="N89" s="3" t="s">
        <v>142</v>
      </c>
    </row>
    <row r="90" spans="1:14" ht="24" x14ac:dyDescent="0.3">
      <c r="A90" s="3" t="s">
        <v>302</v>
      </c>
      <c r="B90" s="3" t="str">
        <f t="shared" si="2"/>
        <v>About Cidy</v>
      </c>
      <c r="C90" s="4" t="s">
        <v>159</v>
      </c>
      <c r="F90" s="3"/>
      <c r="G90" s="3"/>
      <c r="J90" s="3"/>
      <c r="K90" s="3"/>
      <c r="L90" s="3" t="s">
        <v>6</v>
      </c>
      <c r="M90" s="3" t="s">
        <v>153</v>
      </c>
      <c r="N90" s="3" t="s">
        <v>142</v>
      </c>
    </row>
    <row r="91" spans="1:14" x14ac:dyDescent="0.3">
      <c r="A91" s="3" t="s">
        <v>303</v>
      </c>
      <c r="B91" s="3" t="str">
        <f t="shared" si="2"/>
        <v>Greeting</v>
      </c>
      <c r="C91" s="4" t="s">
        <v>160</v>
      </c>
      <c r="F91" s="3"/>
      <c r="G91" s="3"/>
      <c r="J91" s="3"/>
      <c r="K91" s="3"/>
      <c r="L91" s="3" t="s">
        <v>6</v>
      </c>
      <c r="M91" s="3" t="s">
        <v>161</v>
      </c>
      <c r="N91" s="3" t="s">
        <v>162</v>
      </c>
    </row>
    <row r="92" spans="1:14" x14ac:dyDescent="0.3">
      <c r="A92" s="3" t="s">
        <v>304</v>
      </c>
      <c r="B92" s="3" t="str">
        <f t="shared" si="2"/>
        <v>Greeting</v>
      </c>
      <c r="C92" s="4" t="s">
        <v>163</v>
      </c>
      <c r="F92" s="3"/>
      <c r="G92" s="3"/>
      <c r="J92" s="3"/>
      <c r="K92" s="3"/>
      <c r="L92" s="3" t="s">
        <v>6</v>
      </c>
      <c r="M92" s="3" t="s">
        <v>161</v>
      </c>
      <c r="N92" s="3" t="s">
        <v>162</v>
      </c>
    </row>
    <row r="93" spans="1:14" ht="42.65" customHeight="1" x14ac:dyDescent="0.3">
      <c r="A93" s="3" t="s">
        <v>305</v>
      </c>
      <c r="B93" s="3" t="str">
        <f t="shared" si="2"/>
        <v>Greeting</v>
      </c>
      <c r="C93" s="4" t="s">
        <v>164</v>
      </c>
      <c r="D93" s="4" t="s">
        <v>255</v>
      </c>
      <c r="E93" s="4"/>
      <c r="F93" s="3" t="s">
        <v>256</v>
      </c>
      <c r="G93" s="3"/>
      <c r="H93" s="4" t="s">
        <v>251</v>
      </c>
      <c r="I93" s="4" t="s">
        <v>257</v>
      </c>
      <c r="J93" s="5">
        <v>46190</v>
      </c>
      <c r="K93" s="3" t="s">
        <v>258</v>
      </c>
      <c r="L93" s="3" t="s">
        <v>6</v>
      </c>
      <c r="M93" s="3" t="s">
        <v>165</v>
      </c>
      <c r="N93" s="3" t="s">
        <v>162</v>
      </c>
    </row>
    <row r="94" spans="1:14" x14ac:dyDescent="0.3">
      <c r="A94" s="3" t="s">
        <v>306</v>
      </c>
      <c r="B94" s="3" t="str">
        <f t="shared" si="2"/>
        <v>Exit Flow</v>
      </c>
      <c r="C94" s="4" t="s">
        <v>166</v>
      </c>
      <c r="D94" s="3" t="s">
        <v>259</v>
      </c>
      <c r="F94" s="3"/>
      <c r="G94" s="3"/>
      <c r="J94" s="3"/>
      <c r="K94" s="3"/>
      <c r="L94" s="3" t="s">
        <v>6</v>
      </c>
      <c r="M94" s="3" t="s">
        <v>167</v>
      </c>
      <c r="N94" s="3" t="s">
        <v>168</v>
      </c>
    </row>
    <row r="95" spans="1:14" x14ac:dyDescent="0.3">
      <c r="A95" s="3" t="s">
        <v>307</v>
      </c>
      <c r="B95" s="3" t="str">
        <f t="shared" si="2"/>
        <v>Exit Flow</v>
      </c>
      <c r="C95" s="4" t="s">
        <v>169</v>
      </c>
      <c r="D95" s="3" t="s">
        <v>259</v>
      </c>
      <c r="F95" s="3"/>
      <c r="G95" s="3"/>
      <c r="J95" s="3"/>
      <c r="K95" s="3"/>
      <c r="L95" s="3" t="s">
        <v>6</v>
      </c>
      <c r="M95" s="3" t="s">
        <v>170</v>
      </c>
      <c r="N95" s="3" t="s">
        <v>168</v>
      </c>
    </row>
    <row r="96" spans="1:14" x14ac:dyDescent="0.3">
      <c r="A96" s="3" t="s">
        <v>308</v>
      </c>
      <c r="B96" s="3" t="str">
        <f t="shared" si="2"/>
        <v>Exit Flow</v>
      </c>
      <c r="C96" s="4" t="s">
        <v>171</v>
      </c>
      <c r="D96" s="3" t="s">
        <v>259</v>
      </c>
      <c r="F96" s="3"/>
      <c r="G96" s="3"/>
      <c r="J96" s="3"/>
      <c r="K96" s="3"/>
      <c r="L96" s="3" t="s">
        <v>6</v>
      </c>
      <c r="M96" s="3" t="s">
        <v>172</v>
      </c>
      <c r="N96" s="3" t="s">
        <v>162</v>
      </c>
    </row>
    <row r="97" spans="1:14" x14ac:dyDescent="0.3">
      <c r="A97" s="3" t="s">
        <v>309</v>
      </c>
      <c r="B97" s="3" t="str">
        <f t="shared" si="2"/>
        <v>Country Data</v>
      </c>
      <c r="C97" s="4" t="s">
        <v>173</v>
      </c>
      <c r="F97" s="3"/>
      <c r="G97" s="3"/>
      <c r="J97" s="3"/>
      <c r="K97" s="3"/>
      <c r="L97" s="3" t="s">
        <v>6</v>
      </c>
      <c r="M97" s="3" t="s">
        <v>174</v>
      </c>
      <c r="N97" s="3" t="s">
        <v>175</v>
      </c>
    </row>
    <row r="98" spans="1:14" x14ac:dyDescent="0.3">
      <c r="A98" s="3" t="s">
        <v>310</v>
      </c>
      <c r="B98" s="3" t="str">
        <f t="shared" ref="B98:B129" si="3">_xlfn.TEXTBEFORE(_xlfn.TEXTAFTER(A98,"[",-1),"]")</f>
        <v>Country Data</v>
      </c>
      <c r="C98" s="4" t="s">
        <v>176</v>
      </c>
      <c r="F98" s="3"/>
      <c r="G98" s="3"/>
      <c r="J98" s="3"/>
      <c r="K98" s="3"/>
      <c r="L98" s="3" t="s">
        <v>6</v>
      </c>
      <c r="M98" s="3" t="s">
        <v>177</v>
      </c>
      <c r="N98" s="3" t="s">
        <v>178</v>
      </c>
    </row>
    <row r="99" spans="1:14" x14ac:dyDescent="0.3">
      <c r="A99" s="3" t="s">
        <v>311</v>
      </c>
      <c r="B99" s="3" t="str">
        <f t="shared" si="3"/>
        <v>Country Data</v>
      </c>
      <c r="C99" s="4" t="s">
        <v>179</v>
      </c>
      <c r="F99" s="3"/>
      <c r="G99" s="3"/>
      <c r="J99" s="3"/>
      <c r="K99" s="3"/>
      <c r="L99" s="3" t="s">
        <v>6</v>
      </c>
      <c r="M99" s="3" t="s">
        <v>180</v>
      </c>
      <c r="N99" s="3" t="s">
        <v>175</v>
      </c>
    </row>
    <row r="100" spans="1:14" x14ac:dyDescent="0.3">
      <c r="A100" s="3" t="s">
        <v>312</v>
      </c>
      <c r="B100" s="3" t="str">
        <f t="shared" si="3"/>
        <v>Country Data</v>
      </c>
      <c r="C100" s="4" t="s">
        <v>181</v>
      </c>
      <c r="F100" s="3"/>
      <c r="G100" s="3"/>
      <c r="J100" s="3"/>
      <c r="K100" s="3"/>
      <c r="L100" s="3" t="s">
        <v>6</v>
      </c>
      <c r="M100" s="3" t="s">
        <v>182</v>
      </c>
      <c r="N100" s="3" t="s">
        <v>175</v>
      </c>
    </row>
    <row r="101" spans="1:14" x14ac:dyDescent="0.3">
      <c r="A101" s="3"/>
      <c r="B101" s="3"/>
      <c r="F101" s="3"/>
      <c r="G101" s="3"/>
      <c r="J101" s="3"/>
      <c r="K101" s="3"/>
      <c r="L101" s="3"/>
    </row>
  </sheetData>
  <phoneticPr fontId="5" type="noConversion"/>
  <conditionalFormatting sqref="I102:J1048576 F102:G1048576">
    <cfRule type="containsText" dxfId="15" priority="17" operator="containsText" text="No">
      <formula>NOT(ISERROR(SEARCH("No",F102)))</formula>
    </cfRule>
    <cfRule type="containsText" dxfId="14" priority="18" operator="containsText" text="Yes">
      <formula>NOT(ISERROR(SEARCH("Yes",F102)))</formula>
    </cfRule>
  </conditionalFormatting>
  <conditionalFormatting sqref="F101:G101 I101">
    <cfRule type="containsText" dxfId="7" priority="7" operator="containsText" text="No">
      <formula>NOT(ISERROR(SEARCH("No",F101)))</formula>
    </cfRule>
    <cfRule type="containsText" dxfId="6" priority="8" operator="containsText" text="Yes">
      <formula>NOT(ISERROR(SEARCH("Yes",F101)))</formula>
    </cfRule>
  </conditionalFormatting>
  <conditionalFormatting sqref="F1:G13 I1:I13 I57:I100 F57:G100">
    <cfRule type="containsText" dxfId="3" priority="3" operator="containsText" text="No">
      <formula>NOT(ISERROR(SEARCH("No",F1)))</formula>
    </cfRule>
    <cfRule type="containsText" dxfId="2" priority="4" operator="containsText" text="Yes">
      <formula>NOT(ISERROR(SEARCH("Yes",F1)))</formula>
    </cfRule>
  </conditionalFormatting>
  <conditionalFormatting sqref="F14:G56 I14:I56">
    <cfRule type="containsText" dxfId="1" priority="1" operator="containsText" text="No">
      <formula>NOT(ISERROR(SEARCH("No",F14)))</formula>
    </cfRule>
    <cfRule type="containsText" dxfId="0" priority="2" operator="containsText" text="Yes">
      <formula>NOT(ISERROR(SEARCH("Yes",F14)))</formula>
    </cfRule>
  </conditionalFormatting>
  <pageMargins left="0.7" right="0.7" top="0.75" bottom="0.75" header="0.3" footer="0.3"/>
  <tableParts count="1">
    <tablePart r:id="rId1"/>
  </tableParts>
</worksheet>
</file>

<file path=docMetadata/LabelInfo.xml><?xml version="1.0" encoding="utf-8"?>
<clbl:labelList xmlns:clbl="http://schemas.microsoft.com/office/2020/mipLabelMetadata">
  <clbl:label id="{8b77875e-5908-45a0-9cb4-dec9ae074618}" enabled="1" method="Privileged" siteId="{0f9e35db-544f-4f60-bdcc-5ea416e6dc70}"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Ronen Rapoport</cp:lastModifiedBy>
  <dcterms:modified xsi:type="dcterms:W3CDTF">2026-06-18T17:51:48Z</dcterms:modified>
</cp:coreProperties>
</file>